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Inputs" sheetId="2" state="visible" r:id="rId4"/>
    <sheet name="Gene_Thresholds" sheetId="3" state="visible" r:id="rId5"/>
    <sheet name="Phenotype_Mix" sheetId="4" state="visible" r:id="rId6"/>
    <sheet name="Indian_Gene_Shares" sheetId="5" state="visible" r:id="rId7"/>
    <sheet name="ARIDE_Cohort" sheetId="6" state="visible" r:id="rId8"/>
    <sheet name="Published_Specs" sheetId="7" state="visible" r:id="rId9"/>
    <sheet name="Methods" sheetId="8" state="visible" r:id="rId10"/>
    <sheet name="References" sheetId="9" state="visible" r:id="rId11"/>
  </sheets>
  <definedNames>
    <definedName function="false" hidden="true" localSheetId="2" name="_xlnm._FilterDatabase" vbProcedure="false">Gene_Thresholds!$A$4:$AB$229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Optional. Enter a gene-specific penetrance (e.g. for reduced-penetrance AD genes). Lower penetrance → higher (more lenient) cut-offs.</t>
        </r>
      </text>
    </comment>
    <comment ref="K4" authorId="0">
      <text>
        <r>
          <rPr>
            <sz val="10"/>
            <rFont val="Arial"/>
            <family val="2"/>
          </rPr>
          <t xml:space="preserve">Optional. Share of this gene's pathogenic alleles due to its single most common allele (e.g. from ARIDE data or a known Indian founder). Blank = default on Inputs.</t>
        </r>
      </text>
    </comment>
  </commentList>
</comments>
</file>

<file path=xl/sharedStrings.xml><?xml version="1.0" encoding="utf-8"?>
<sst xmlns="http://schemas.openxmlformats.org/spreadsheetml/2006/main" count="1247" uniqueCount="530">
  <si>
    <t xml:space="preserve">IRD gene-specific allele-frequency cut-offs (BA1 / BS1 / PM2_Supporting) — Whiffin maximum-credible-AF method, Indian parameters</t>
  </si>
  <si>
    <t xml:space="preserve">Prepared for ARIDE-CAP variant curation · built 23-Sep-2026 · all thresholds are LIVE formulas driven by the 'Inputs' sheet</t>
  </si>
  <si>
    <t xml:space="preserve">WHAT THIS WORKBOOK DOES</t>
  </si>
  <si>
    <t xml:space="preserve">For each IRD gene it asks: 'Given how common IRD is in India, how much of it this gene causes, and how penetrant it is, what is the highest population allele frequency a pathogenic variant could credibly have?' (Whiffin et al., Genet Med 2017). Variants above that ceiling are too common to be pathogenic.</t>
  </si>
  <si>
    <t xml:space="preserve">SHEETS</t>
  </si>
  <si>
    <t xml:space="preserve">Inputs — all editable parameters (prevalence, penetrance, allelic shares, floor, inbreeding coefficient, data-source switch).</t>
  </si>
  <si>
    <t xml:space="preserve">Gene_Thresholds — one row per gene × inheritance mode (225 rows); BA1, BS1, PM2_Supporting cut-offs + comparison to published ClinGen specifications.</t>
  </si>
  <si>
    <t xml:space="preserve">Indian_Gene_Shares — within-phenotype gene shares from the Indian IRD literature (Hum Genomics 2026;20:42) → converted to each gene's share of ALL Indian IRD.</t>
  </si>
  <si>
    <t xml:space="preserve">Phenotype_Mix — share of each IRD phenotype among clinically reported Indian IRD cases (same source).</t>
  </si>
  <si>
    <t xml:space="preserve">ARIDE_Cohort — EMPTY input sheet: enter solved-family counts per gene from the ARIDE-CAP cohort; flip the switch on Inputs to use them instead of literature values.</t>
  </si>
  <si>
    <t xml:space="preserve">Published_Specs — existing gene-specific specifications (ClinGen VCEPs, ABCA4, Japan IRD) for sanity-checking.</t>
  </si>
  <si>
    <t xml:space="preserve">Methods — formulas and reasoning.   References — full citations.</t>
  </si>
  <si>
    <t xml:space="preserve">COLOUR LEGEND</t>
  </si>
  <si>
    <t xml:space="preserve">Blue text on yellow = input you may edit.  Black = formula (do not overwrite).  Green = pulled from another sheet.</t>
  </si>
  <si>
    <t xml:space="preserve">HOW TO USE A THRESHOLD</t>
  </si>
  <si>
    <t xml:space="preserve">Use the RECOMMENDED BA1 / BS1 / PM2 columns (V–X). Compare the variant's gnomAD grpmax filtering allele frequency (FAF95) — ideally also South Asian (SAS), IndiGen and GenomeIndia frequencies — against the gene row. For X-linked genes use the hemizygous (male) allele frequency.</t>
  </si>
  <si>
    <t xml:space="preserve">BA1: frequency ≥ BA1 cut-off → Benign stand-alone.   BS1: frequency ≥ BS1 cut-off (and &lt; BA1) → Strong benign.   PM2_Supporting: frequency ≤ PM2 cut-off (or absent) → Supporting pathogenic.</t>
  </si>
  <si>
    <t xml:space="preserve">IMPORTANT CAVEATS (read before clinical use)</t>
  </si>
  <si>
    <t xml:space="preserve">1. Where a ClinGen VCEP specification exists (RPE65, RPGR, RS1; HL-VCEP for USH2A/MYO7A/CDH23), the VCEP values take precedence for ClinVar-facing classification. Use these calculated values for genes without a specification, or as an India-specific cross-check.</t>
  </si>
  <si>
    <t xml:space="preserve">2. Indian gene shares come from a literature meta-review (publication bias: gene-targeted screening studies, e.g. CERKL, RPE65, inflate some genes). Replace them with ARIDE-CAP cohort counts as soon as the cohort is large enough (switch on Inputs).</t>
  </si>
  <si>
    <t xml:space="preserve">3. Indian data exist for ~45 genes, but only ~19 exceed the floor; all others use the conservative gene-contribution FLOOR (default 1% of all IRD), which makes their benign cut-offs deliberately lenient toward pathogenicity (i.e. safe).</t>
  </si>
  <si>
    <t xml:space="preserve">4. Known hypomorphic / reduced-penetrance alleles (e.g. ABCA4 c.5603A&gt;T) can exceed BS1 and still be disease-causing in trans. Always cross-check against ClinVar P/LP alleles in the gene; if a well-established pathogenic allele exceeds BS1, raise the threshold (lower penetrance or raise allelic share for that gene).</t>
  </si>
  <si>
    <t xml:space="preserve">5. Prevalence anchors are population-based RP prevalence in adults ≥40 y; total IRD prevalence is back-calculated using the RP share of the phenotype mix.</t>
  </si>
  <si>
    <t xml:space="preserve">Model inputs (edit yellow cells only)</t>
  </si>
  <si>
    <t xml:space="preserve">1. Indian IRD prevalence</t>
  </si>
  <si>
    <t xml:space="preserve">RP prevalence — Tamil Nadu (Chennai, ≥40 y)</t>
  </si>
  <si>
    <t xml:space="preserve">Sen P et al. Ophthalmic Epidemiol 2008;15(4):279-81 (0.17%)</t>
  </si>
  <si>
    <t xml:space="preserve">RP prevalence — Central India (CIEMS, ≥30 y)</t>
  </si>
  <si>
    <t xml:space="preserve">Nangia V et al. Acta Ophthalmol 2012;90(8):e649-50 (0.13%, ~1 in 750)</t>
  </si>
  <si>
    <t xml:space="preserve">RP prevalence — Andhra Pradesh (APEDS)</t>
  </si>
  <si>
    <t xml:space="preserve">APEDS, as summarised in Front Genet 2022;13:858556 (~1 in 1,000)</t>
  </si>
  <si>
    <t xml:space="preserve">RP share of all IRD (from Phenotype_Mix)</t>
  </si>
  <si>
    <t xml:space="preserve">Converts RP prevalence into total IRD prevalence</t>
  </si>
  <si>
    <t xml:space="preserve">IRD prevalence — point estimate (P)</t>
  </si>
  <si>
    <t xml:space="preserve">Mean RP prevalence ÷ RP share. Used for PM2 (conservative direction).</t>
  </si>
  <si>
    <t xml:space="preserve">IRD prevalence — upper estimate (P_upper)</t>
  </si>
  <si>
    <t xml:space="preserve">Highest RP prevalence ÷ RP share. Used for BS1 and BA1 (conservative direction).</t>
  </si>
  <si>
    <t xml:space="preserve">   = 1 in … (point)</t>
  </si>
  <si>
    <t xml:space="preserve">   = 1 in … (upper)</t>
  </si>
  <si>
    <t xml:space="preserve">2. Penetrance</t>
  </si>
  <si>
    <t xml:space="preserve">Penetrance — autosomal recessive (biallelic)</t>
  </si>
  <si>
    <t xml:space="preserve">Whiffin default for fully penetrant recessive disease. Lower it for genes with known hypomorphs → raises cut-offs.</t>
  </si>
  <si>
    <t xml:space="preserve">Penetrance — autosomal dominant</t>
  </si>
  <si>
    <t xml:space="preserve">Conservative (as Whiffin 2017 used for HCM); AD IRD shows variable expressivity (e.g. PRPF31).</t>
  </si>
  <si>
    <t xml:space="preserve">Penetrance — X-linked (hemizygous males)</t>
  </si>
  <si>
    <t xml:space="preserve">3. Allelic contribution &amp; criterion spacing</t>
  </si>
  <si>
    <t xml:space="preserve">BA1 multiplier (BA1 = BS1 × this)</t>
  </si>
  <si>
    <t xml:space="preserve">Both ClinGen retina VCEPs set BA1 = 10 × BS1 (RPE65: 8e-3 vs 8e-4; RS1: 2e-4 vs 2e-5).</t>
  </si>
  <si>
    <t xml:space="preserve">Allelic share for BS1 (default; per-gene override on Gene_Thresholds)</t>
  </si>
  <si>
    <t xml:space="preserve">Whiffin 'maximum allelic contribution'. Founder-rich, consanguineous Indian cohorts → one allele can dominate; 0.5 is conservative.</t>
  </si>
  <si>
    <t xml:space="preserve">Allelic share for PM2_Supporting</t>
  </si>
  <si>
    <t xml:space="preserve">A variant explaining ≤5% of the gene's pathogenic alleles counts as 'rare' (gives PM2 ≈ BS1/10, as in the RS1 VCEP).</t>
  </si>
  <si>
    <t xml:space="preserve">4. Guard-rails</t>
  </si>
  <si>
    <t xml:space="preserve">Gene-contribution floor (min share of all IRD)</t>
  </si>
  <si>
    <t xml:space="preserve">Applied when Indian data are missing or smaller. Raising it makes cut-offs more lenient (safer for BA1/BS1).</t>
  </si>
  <si>
    <t xml:space="preserve">Inbreeding coefficient F (applied to PM2 of AR genes only)</t>
  </si>
  <si>
    <t xml:space="preserve">South Indian average F ≈ 0.01–0.02. F&gt;0 lowers the PM2 cut-off (stricter, i.e. conservative). Not applied to BA1/BS1.</t>
  </si>
  <si>
    <t xml:space="preserve">BA1 cap (ACMG default)</t>
  </si>
  <si>
    <t xml:space="preserve">BA1 never exceeds 5% (Richards et al. 2015).</t>
  </si>
  <si>
    <t xml:space="preserve">5. Data source</t>
  </si>
  <si>
    <t xml:space="preserve">Gene-contribution source</t>
  </si>
  <si>
    <t xml:space="preserve">Indian literature</t>
  </si>
  <si>
    <t xml:space="preserve">Choose 'Indian literature' or 'ARIDE cohort'.</t>
  </si>
  <si>
    <t xml:space="preserve">Minimum ARIDE solved families before switch takes effect</t>
  </si>
  <si>
    <t xml:space="preserve">Protects against tiny-sample shares.</t>
  </si>
  <si>
    <t xml:space="preserve">Whiffin-based allele-frequency cut-offs for IRD genes — Indian parameters</t>
  </si>
  <si>
    <t xml:space="preserve">Compare against gnomAD grpmax FAF95 (+ SAS / IndiGen / GenomeIndia); X-linked rows = hemizygous male AF. BA1/BS1: AF ≥ cut-off. PM2_Supporting: AF ≤ cut-off or absent. Columns V–X give the value to USE: the published ClinGen/expert specification where one exists, otherwise this workbook's calculation.</t>
  </si>
  <si>
    <t xml:space="preserve">Gene</t>
  </si>
  <si>
    <t xml:space="preserve">Inheritance</t>
  </si>
  <si>
    <t xml:space="preserve">Phenotype group</t>
  </si>
  <si>
    <t xml:space="preserve">Gene share of Indian IRD — literature</t>
  </si>
  <si>
    <t xml:space="preserve">Gene share — ARIDE cohort</t>
  </si>
  <si>
    <t xml:space="preserve">Gene share USED (g)</t>
  </si>
  <si>
    <t xml:space="preserve">g basis</t>
  </si>
  <si>
    <t xml:space="preserve">Penetrance — default</t>
  </si>
  <si>
    <t xml:space="preserve">Penetrance — override</t>
  </si>
  <si>
    <t xml:space="preserve">Penetrance used</t>
  </si>
  <si>
    <t xml:space="preserve">Allelic share BS1 — override</t>
  </si>
  <si>
    <t xml:space="preserve">Allelic share BS1 used</t>
  </si>
  <si>
    <t xml:space="preserve">Max credible total pathogenic AF, Q (upper P, F=0)</t>
  </si>
  <si>
    <t xml:space="preserve">Q (point P, with F)</t>
  </si>
  <si>
    <t xml:space="preserve">Calc BS1 (≥)</t>
  </si>
  <si>
    <t xml:space="preserve">Calc BA1 (≥)</t>
  </si>
  <si>
    <t xml:space="preserve">Calc PM2_Sup (≤)</t>
  </si>
  <si>
    <t xml:space="preserve">Published BA1</t>
  </si>
  <si>
    <t xml:space="preserve">Published BS1</t>
  </si>
  <si>
    <t xml:space="preserve">Published PM2</t>
  </si>
  <si>
    <t xml:space="preserve">Recommended source</t>
  </si>
  <si>
    <t xml:space="preserve">RECOMMENDED BA1 (≥)</t>
  </si>
  <si>
    <t xml:space="preserve">RECOMMENDED BS1 (≥)</t>
  </si>
  <si>
    <t xml:space="preserve">RECOMMENDED PM2_Sup (≤)</t>
  </si>
  <si>
    <t xml:space="preserve">Calc vs published BS1</t>
  </si>
  <si>
    <t xml:space="preserve">Frequency metric to compare</t>
  </si>
  <si>
    <t xml:space="preserve">Published specification (text)</t>
  </si>
  <si>
    <t xml:space="preserve">Notes</t>
  </si>
  <si>
    <t xml:space="preserve">ABCA4</t>
  </si>
  <si>
    <t xml:space="preserve">AR</t>
  </si>
  <si>
    <t xml:space="preserve">MD/STGD,CRD</t>
  </si>
  <si>
    <t xml:space="preserve">Cornelis et al. 2023: BS1 &gt;0.0163 any gnomAD pop; PM2_Sup &lt;1e-4</t>
  </si>
  <si>
    <t xml:space="preserve">Hypomorphic alleles (e.g. c.5603A&gt;T) exceed BS1 yet are pathogenic in trans with severe alleles — do not apply BS1 to them.</t>
  </si>
  <si>
    <t xml:space="preserve">ABHD12</t>
  </si>
  <si>
    <t xml:space="preserve">USH-like (PHARC)</t>
  </si>
  <si>
    <t xml:space="preserve">ADAM9</t>
  </si>
  <si>
    <t xml:space="preserve">CRD</t>
  </si>
  <si>
    <t xml:space="preserve">ADGRA3</t>
  </si>
  <si>
    <t xml:space="preserve">RP</t>
  </si>
  <si>
    <t xml:space="preserve">ADGRV1</t>
  </si>
  <si>
    <t xml:space="preserve">USH2</t>
  </si>
  <si>
    <t xml:space="preserve">ADIPOR1</t>
  </si>
  <si>
    <t xml:space="preserve">AD</t>
  </si>
  <si>
    <t xml:space="preserve">AGBL5</t>
  </si>
  <si>
    <t xml:space="preserve">AHI1</t>
  </si>
  <si>
    <t xml:space="preserve">JS</t>
  </si>
  <si>
    <t xml:space="preserve">AHR</t>
  </si>
  <si>
    <t xml:space="preserve">AIPL1</t>
  </si>
  <si>
    <t xml:space="preserve">LCA</t>
  </si>
  <si>
    <t xml:space="preserve">ALMS1</t>
  </si>
  <si>
    <t xml:space="preserve">Alstrom</t>
  </si>
  <si>
    <t xml:space="preserve">ARHGEF18</t>
  </si>
  <si>
    <t xml:space="preserve">ARL13B</t>
  </si>
  <si>
    <t xml:space="preserve">ARL2BP</t>
  </si>
  <si>
    <t xml:space="preserve">ARL3</t>
  </si>
  <si>
    <t xml:space="preserve">ARL6</t>
  </si>
  <si>
    <t xml:space="preserve">BBS/RP</t>
  </si>
  <si>
    <t xml:space="preserve">ARSG</t>
  </si>
  <si>
    <t xml:space="preserve">USH4</t>
  </si>
  <si>
    <t xml:space="preserve">ATF6</t>
  </si>
  <si>
    <t xml:space="preserve">ACHM</t>
  </si>
  <si>
    <t xml:space="preserve">BBIP1</t>
  </si>
  <si>
    <t xml:space="preserve">BBS</t>
  </si>
  <si>
    <t xml:space="preserve">BBS1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</si>
  <si>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</si>
  <si>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</si>
  <si>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</si>
  <si>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</si>
  <si>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</si>
  <si>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BBS10</t>
  </si>
  <si>
    <t xml:space="preserve">BBS12</t>
  </si>
  <si>
    <t xml:space="preserve">BEST1</t>
  </si>
  <si>
    <t xml:space="preserve">MD (Best)</t>
  </si>
  <si>
    <t xml:space="preserve">ARB</t>
  </si>
  <si>
    <t xml:space="preserve">C1QTNF5</t>
  </si>
  <si>
    <t xml:space="preserve">MD (L-ORD)</t>
  </si>
  <si>
    <t xml:space="preserve">C8orf37</t>
  </si>
  <si>
    <t xml:space="preserve">CRD/RP/BBS</t>
  </si>
  <si>
    <t xml:space="preserve">CA4</t>
  </si>
  <si>
    <t xml:space="preserve">CABP4</t>
  </si>
  <si>
    <t xml:space="preserve">CSNB/CD</t>
  </si>
  <si>
    <t xml:space="preserve">CACNA1F</t>
  </si>
  <si>
    <t xml:space="preserve">XL</t>
  </si>
  <si>
    <t xml:space="preserve">CSNB2</t>
  </si>
  <si>
    <t xml:space="preserve">CACNA2D4</t>
  </si>
  <si>
    <t xml:space="preserve">CD</t>
  </si>
  <si>
    <t xml:space="preserve">CC2D2A</t>
  </si>
  <si>
    <t xml:space="preserve">JS/RP</t>
  </si>
  <si>
    <t xml:space="preserve">CDH23</t>
  </si>
  <si>
    <t xml:space="preserve">USH1</t>
  </si>
  <si>
    <t xml:space="preserve">ClinGen Hearing Loss VCEP v2 (AR): BA1 &gt;=0.5%; BS1 &gt;=0.3%; PM2_Sup &lt;=0.007%</t>
  </si>
  <si>
    <t xml:space="preserve">CDH3</t>
  </si>
  <si>
    <t xml:space="preserve">MD (HJMD)</t>
  </si>
  <si>
    <t xml:space="preserve">CDHR1</t>
  </si>
  <si>
    <t xml:space="preserve">CEP164</t>
  </si>
  <si>
    <t xml:space="preserve">SLS/RP</t>
  </si>
  <si>
    <t xml:space="preserve">CEP250</t>
  </si>
  <si>
    <t xml:space="preserve">USH-atypical</t>
  </si>
  <si>
    <t xml:space="preserve">CEP290</t>
  </si>
  <si>
    <t xml:space="preserve">LCA/JS/SLS</t>
  </si>
  <si>
    <t xml:space="preserve">CEP78</t>
  </si>
  <si>
    <t xml:space="preserve">CRD+HL</t>
  </si>
  <si>
    <t xml:space="preserve">CERKL</t>
  </si>
  <si>
    <t xml:space="preserve">RP/CRD</t>
  </si>
  <si>
    <t xml:space="preserve">Indian founder allele: 12 of 14 CERKL-positive unrelated RP patients shared one mutation (Sen et al. 2020, cited in Front Genet 2022;13:858556)</t>
  </si>
  <si>
    <t xml:space="preserve">CFAP410</t>
  </si>
  <si>
    <t xml:space="preserve">CHM</t>
  </si>
  <si>
    <t xml:space="preserve">Choroideremia</t>
  </si>
  <si>
    <t xml:space="preserve">CLCC1</t>
  </si>
  <si>
    <t xml:space="preserve">CLN3</t>
  </si>
  <si>
    <t xml:space="preserve">NCL/RP</t>
  </si>
  <si>
    <t xml:space="preserve">CLN5</t>
  </si>
  <si>
    <t xml:space="preserve">NCL</t>
  </si>
  <si>
    <t xml:space="preserve">CLRN1</t>
  </si>
  <si>
    <t xml:space="preserve">USH3/RP</t>
  </si>
  <si>
    <t xml:space="preserve">CNGA1</t>
  </si>
  <si>
    <t xml:space="preserve">CNGA3</t>
  </si>
  <si>
    <t xml:space="preserve">CNGB1</t>
  </si>
  <si>
    <t xml:space="preserve">CNGB3</t>
  </si>
  <si>
    <t xml:space="preserve">CNNM4</t>
  </si>
  <si>
    <t xml:space="preserve">Jalili</t>
  </si>
  <si>
    <t xml:space="preserve">CPLANE1</t>
  </si>
  <si>
    <t xml:space="preserve">CRB1</t>
  </si>
  <si>
    <t xml:space="preserve">LCA/RP</t>
  </si>
  <si>
    <t xml:space="preserve">MD/RP</t>
  </si>
  <si>
    <t xml:space="preserve">CRX</t>
  </si>
  <si>
    <t xml:space="preserve">CRD/LCA</t>
  </si>
  <si>
    <t xml:space="preserve">CSPP1</t>
  </si>
  <si>
    <t xml:space="preserve">CTNNA1</t>
  </si>
  <si>
    <t xml:space="preserve">MD (pattern)</t>
  </si>
  <si>
    <t xml:space="preserve">CWC27</t>
  </si>
  <si>
    <t xml:space="preserve">CYP4V2</t>
  </si>
  <si>
    <t xml:space="preserve">Bietti</t>
  </si>
  <si>
    <t xml:space="preserve">DHDDS</t>
  </si>
  <si>
    <t xml:space="preserve">DHX38</t>
  </si>
  <si>
    <t xml:space="preserve">DRAM2</t>
  </si>
  <si>
    <t xml:space="preserve">EFEMP1</t>
  </si>
  <si>
    <t xml:space="preserve">MD (Doyne)</t>
  </si>
  <si>
    <t xml:space="preserve">ELOVL4</t>
  </si>
  <si>
    <t xml:space="preserve">MD (STGD3)</t>
  </si>
  <si>
    <t xml:space="preserve">EMC1</t>
  </si>
  <si>
    <t xml:space="preserve">EYS</t>
  </si>
  <si>
    <t xml:space="preserve">FAM161A</t>
  </si>
  <si>
    <t xml:space="preserve">FZD4</t>
  </si>
  <si>
    <t xml:space="preserve">FEVR</t>
  </si>
  <si>
    <t xml:space="preserve">GNAT1</t>
  </si>
  <si>
    <t xml:space="preserve">CSNB</t>
  </si>
  <si>
    <t xml:space="preserve">CSNB/RP</t>
  </si>
  <si>
    <t xml:space="preserve">GNAT2</t>
  </si>
  <si>
    <t xml:space="preserve">GNB3</t>
  </si>
  <si>
    <t xml:space="preserve">GPR179</t>
  </si>
  <si>
    <t xml:space="preserve">CSNB1</t>
  </si>
  <si>
    <t xml:space="preserve">GRK1</t>
  </si>
  <si>
    <t xml:space="preserve">CSNB (Oguchi)</t>
  </si>
  <si>
    <t xml:space="preserve">GRM6</t>
  </si>
  <si>
    <t xml:space="preserve">GUCA1A</t>
  </si>
  <si>
    <t xml:space="preserve">CD/CRD</t>
  </si>
  <si>
    <t xml:space="preserve">GUCA1B</t>
  </si>
  <si>
    <t xml:space="preserve">RP/MD</t>
  </si>
  <si>
    <t xml:space="preserve">GUCY2D</t>
  </si>
  <si>
    <t xml:space="preserve">HGSNAT</t>
  </si>
  <si>
    <t xml:space="preserve">HK1</t>
  </si>
  <si>
    <t xml:space="preserve">IDH3A</t>
  </si>
  <si>
    <t xml:space="preserve">IDH3B</t>
  </si>
  <si>
    <t xml:space="preserve">IFT140</t>
  </si>
  <si>
    <t xml:space="preserve">RP/SRTD</t>
  </si>
  <si>
    <t xml:space="preserve">IFT172</t>
  </si>
  <si>
    <t xml:space="preserve">RP/BBS</t>
  </si>
  <si>
    <t xml:space="preserve">IFT27</t>
  </si>
  <si>
    <t xml:space="preserve">IFT74</t>
  </si>
  <si>
    <t xml:space="preserve">IMPDH1</t>
  </si>
  <si>
    <t xml:space="preserve">RP/LCA</t>
  </si>
  <si>
    <t xml:space="preserve">IMPG1</t>
  </si>
  <si>
    <t xml:space="preserve">MD (VMD)</t>
  </si>
  <si>
    <t xml:space="preserve">IMPG2</t>
  </si>
  <si>
    <t xml:space="preserve">INPP5E</t>
  </si>
  <si>
    <t xml:space="preserve">IQCB1</t>
  </si>
  <si>
    <t xml:space="preserve">SLS/LCA</t>
  </si>
  <si>
    <t xml:space="preserve">KCNJ13</t>
  </si>
  <si>
    <t xml:space="preserve">KCNV2</t>
  </si>
  <si>
    <t xml:space="preserve">CD (supernormal)</t>
  </si>
  <si>
    <t xml:space="preserve">KIAA1549</t>
  </si>
  <si>
    <t xml:space="preserve">KIF11</t>
  </si>
  <si>
    <t xml:space="preserve">KIZ</t>
  </si>
  <si>
    <t xml:space="preserve">KLHL7</t>
  </si>
  <si>
    <t xml:space="preserve">LCA5</t>
  </si>
  <si>
    <t xml:space="preserve">LRAT</t>
  </si>
  <si>
    <t xml:space="preserve">LRIT3</t>
  </si>
  <si>
    <t xml:space="preserve">LRP5</t>
  </si>
  <si>
    <t xml:space="preserve">LZTFL1</t>
  </si>
  <si>
    <t xml:space="preserve">MAK</t>
  </si>
  <si>
    <t xml:space="preserve">MERTK</t>
  </si>
  <si>
    <t xml:space="preserve">MFRP</t>
  </si>
  <si>
    <t xml:space="preserve">RP/nanophthalmos</t>
  </si>
  <si>
    <t xml:space="preserve">MFSD8</t>
  </si>
  <si>
    <t xml:space="preserve">NCL/MD</t>
  </si>
  <si>
    <t xml:space="preserve">MKKS</t>
  </si>
  <si>
    <t xml:space="preserve">MKS1</t>
  </si>
  <si>
    <t xml:space="preserve">BBS/JS</t>
  </si>
  <si>
    <t xml:space="preserve">MVK</t>
  </si>
  <si>
    <t xml:space="preserve">MYO7A</t>
  </si>
  <si>
    <t xml:space="preserve">Indian USH share based on only 5 reported variants — provisional.</t>
  </si>
  <si>
    <t xml:space="preserve">NDP</t>
  </si>
  <si>
    <t xml:space="preserve">FEVR/Norrie</t>
  </si>
  <si>
    <t xml:space="preserve">NEK2</t>
  </si>
  <si>
    <t xml:space="preserve">NMNAT1</t>
  </si>
  <si>
    <t xml:space="preserve">NPHP1</t>
  </si>
  <si>
    <t xml:space="preserve">SLS/JS</t>
  </si>
  <si>
    <t xml:space="preserve">NPHP3</t>
  </si>
  <si>
    <t xml:space="preserve">SLS</t>
  </si>
  <si>
    <t xml:space="preserve">NPHP4</t>
  </si>
  <si>
    <t xml:space="preserve">NR2E3</t>
  </si>
  <si>
    <t xml:space="preserve">ESCS/RP</t>
  </si>
  <si>
    <t xml:space="preserve">NRL</t>
  </si>
  <si>
    <t xml:space="preserve">NYX</t>
  </si>
  <si>
    <t xml:space="preserve">OAT</t>
  </si>
  <si>
    <t xml:space="preserve">Gyrate atrophy</t>
  </si>
  <si>
    <t xml:space="preserve">OFD1</t>
  </si>
  <si>
    <t xml:space="preserve">RP/JS</t>
  </si>
  <si>
    <t xml:space="preserve">OPN1LW</t>
  </si>
  <si>
    <t xml:space="preserve">BCM</t>
  </si>
  <si>
    <t xml:space="preserve">OPN1MW</t>
  </si>
  <si>
    <t xml:space="preserve">OTX2</t>
  </si>
  <si>
    <t xml:space="preserve">MD/LCA</t>
  </si>
  <si>
    <t xml:space="preserve">PCARE</t>
  </si>
  <si>
    <t xml:space="preserve">PCDH15</t>
  </si>
  <si>
    <t xml:space="preserve">PDE6A</t>
  </si>
  <si>
    <t xml:space="preserve">PDE6B</t>
  </si>
  <si>
    <t xml:space="preserve">PDE6C</t>
  </si>
  <si>
    <t xml:space="preserve">ACHM/CD</t>
  </si>
  <si>
    <t xml:space="preserve">PDE6G</t>
  </si>
  <si>
    <t xml:space="preserve">PDE6H</t>
  </si>
  <si>
    <t xml:space="preserve">PEX1</t>
  </si>
  <si>
    <t xml:space="preserve">Peroxisomal/RP</t>
  </si>
  <si>
    <t xml:space="preserve">PEX7</t>
  </si>
  <si>
    <t xml:space="preserve">Refsum</t>
  </si>
  <si>
    <t xml:space="preserve">PHYH</t>
  </si>
  <si>
    <t xml:space="preserve">PITPNM3</t>
  </si>
  <si>
    <t xml:space="preserve">PLA2G5</t>
  </si>
  <si>
    <t xml:space="preserve">MD (fleck)</t>
  </si>
  <si>
    <t xml:space="preserve">PNPLA6</t>
  </si>
  <si>
    <t xml:space="preserve">RP/syndromic</t>
  </si>
  <si>
    <t xml:space="preserve">POC1B</t>
  </si>
  <si>
    <t xml:space="preserve">POMGNT1</t>
  </si>
  <si>
    <t xml:space="preserve">PRCD</t>
  </si>
  <si>
    <t xml:space="preserve">PRDM13</t>
  </si>
  <si>
    <t xml:space="preserve">MD (NCMD)</t>
  </si>
  <si>
    <t xml:space="preserve">PROM1</t>
  </si>
  <si>
    <t xml:space="preserve">MD/CRD</t>
  </si>
  <si>
    <t xml:space="preserve">PRPF3</t>
  </si>
  <si>
    <t xml:space="preserve">PRPF31</t>
  </si>
  <si>
    <t xml:space="preserve">Incomplete penetrance is well documented; consider a penetrance override (column I) if a known P/LP allele exceeds BS1.</t>
  </si>
  <si>
    <t xml:space="preserve">PRPF4</t>
  </si>
  <si>
    <t xml:space="preserve">PRPF6</t>
  </si>
  <si>
    <t xml:space="preserve">PRPF8</t>
  </si>
  <si>
    <t xml:space="preserve">PRPH2</t>
  </si>
  <si>
    <t xml:space="preserve">RAB28</t>
  </si>
  <si>
    <t xml:space="preserve">RAX2</t>
  </si>
  <si>
    <t xml:space="preserve">RBP3</t>
  </si>
  <si>
    <t xml:space="preserve">RBP4</t>
  </si>
  <si>
    <t xml:space="preserve">RPE dystrophy</t>
  </si>
  <si>
    <t xml:space="preserve">RCBTB1</t>
  </si>
  <si>
    <t xml:space="preserve">RP/FEVR</t>
  </si>
  <si>
    <t xml:space="preserve">RD3</t>
  </si>
  <si>
    <t xml:space="preserve">RDH11</t>
  </si>
  <si>
    <t xml:space="preserve">RDH12</t>
  </si>
  <si>
    <t xml:space="preserve">LCA/EORD</t>
  </si>
  <si>
    <t xml:space="preserve">RDH5</t>
  </si>
  <si>
    <t xml:space="preserve">Fundus albipunctatus</t>
  </si>
  <si>
    <t xml:space="preserve">REEP6</t>
  </si>
  <si>
    <t xml:space="preserve">RGR</t>
  </si>
  <si>
    <t xml:space="preserve">RGS9</t>
  </si>
  <si>
    <t xml:space="preserve">Bradyopsia</t>
  </si>
  <si>
    <t xml:space="preserve">RGS9BP</t>
  </si>
  <si>
    <t xml:space="preserve">RHO</t>
  </si>
  <si>
    <t xml:space="preserve">RIMS1</t>
  </si>
  <si>
    <t xml:space="preserve">RLBP1</t>
  </si>
  <si>
    <t xml:space="preserve">RP (Bothnia)</t>
  </si>
  <si>
    <t xml:space="preserve">ROM1</t>
  </si>
  <si>
    <t xml:space="preserve">RP1</t>
  </si>
  <si>
    <t xml:space="preserve">RP1L1</t>
  </si>
  <si>
    <t xml:space="preserve">MD (occult)</t>
  </si>
  <si>
    <t xml:space="preserve">RP2</t>
  </si>
  <si>
    <t xml:space="preserve">RP9</t>
  </si>
  <si>
    <t xml:space="preserve">RPE65</t>
  </si>
  <si>
    <t xml:space="preserve">ClinGen LCA/EORD VCEP v1.0 (2023): BA1 grpmax FAF &gt;=8e-3; BS1 8e-4 to &lt;8e-3; PM2_Sup FAF &lt;=2e-4</t>
  </si>
  <si>
    <t xml:space="preserve">RPGR</t>
  </si>
  <si>
    <t xml:space="preserve">ClinGen XLIRD VCEP v1.0.0 (2025): BA1 &gt;5% males; BS1 &gt;=8.3e-5 males; PM2_Sup &lt;=5e-5 males</t>
  </si>
  <si>
    <t xml:space="preserve">No Indian gene-share data → floor used; calculated values are below the VCEP values, so use the VCEP (recommended columns).</t>
  </si>
  <si>
    <t xml:space="preserve">RPGRIP1</t>
  </si>
  <si>
    <t xml:space="preserve">LCA/CRD</t>
  </si>
  <si>
    <t xml:space="preserve">RPGRIP1L</t>
  </si>
  <si>
    <t xml:space="preserve">RS1</t>
  </si>
  <si>
    <t xml:space="preserve">XLRS</t>
  </si>
  <si>
    <t xml:space="preserve">ClinGen XLIRD VCEP v1.0.0: BA1 &gt;=2e-4 males; BS1 &gt;=2e-5 males; PM2_Sup &lt;2e-6 males</t>
  </si>
  <si>
    <t xml:space="preserve">SAG</t>
  </si>
  <si>
    <t xml:space="preserve">CSNB (Oguchi)/RP</t>
  </si>
  <si>
    <t xml:space="preserve">SAMD11</t>
  </si>
  <si>
    <t xml:space="preserve">SDCCAG8</t>
  </si>
  <si>
    <t xml:space="preserve">BBS/SLS</t>
  </si>
  <si>
    <t xml:space="preserve">SEMA4A</t>
  </si>
  <si>
    <t xml:space="preserve">SLC24A1</t>
  </si>
  <si>
    <t xml:space="preserve">SLC7A14</t>
  </si>
  <si>
    <t xml:space="preserve">SNRNP200</t>
  </si>
  <si>
    <t xml:space="preserve">SPATA7</t>
  </si>
  <si>
    <t xml:space="preserve">TIMP3</t>
  </si>
  <si>
    <t xml:space="preserve">MD (Sorsby)</t>
  </si>
  <si>
    <t xml:space="preserve">TMEM216</t>
  </si>
  <si>
    <t xml:space="preserve">TMEM67</t>
  </si>
  <si>
    <t xml:space="preserve">TOPORS</t>
  </si>
  <si>
    <t xml:space="preserve">TRIM32</t>
  </si>
  <si>
    <t xml:space="preserve">TRPM1</t>
  </si>
  <si>
    <t xml:space="preserve">TSPAN12</t>
  </si>
  <si>
    <t xml:space="preserve">TTC8</t>
  </si>
  <si>
    <t xml:space="preserve">TTLL5</t>
  </si>
  <si>
    <t xml:space="preserve">TUB</t>
  </si>
  <si>
    <t xml:space="preserve">RP/obesity</t>
  </si>
  <si>
    <t xml:space="preserve">TULP1</t>
  </si>
  <si>
    <t xml:space="preserve">UNC119</t>
  </si>
  <si>
    <t xml:space="preserve">USH1C</t>
  </si>
  <si>
    <t xml:space="preserve">USH1G</t>
  </si>
  <si>
    <t xml:space="preserve">USH2A</t>
  </si>
  <si>
    <t xml:space="preserve">USH2/RP</t>
  </si>
  <si>
    <t xml:space="preserve">WDR19</t>
  </si>
  <si>
    <t xml:space="preserve">WHRN</t>
  </si>
  <si>
    <t xml:space="preserve">ZNF408</t>
  </si>
  <si>
    <t xml:space="preserve">ZNF513</t>
  </si>
  <si>
    <t xml:space="preserve">Phenotype mix of clinically reported IRD cases in India</t>
  </si>
  <si>
    <t xml:space="preserve">Source: Elucidating the genetic landscape of inherited retinal disorders in India. Hum Genomics 2026;20:42 (287 publications, 21,158 IRD cases). Counts are literature-reported cases, not a population census.</t>
  </si>
  <si>
    <t xml:space="preserve">Code</t>
  </si>
  <si>
    <t xml:space="preserve">Phenotype</t>
  </si>
  <si>
    <t xml:space="preserve">Reported cases (India)</t>
  </si>
  <si>
    <t xml:space="preserve">Fraction of total</t>
  </si>
  <si>
    <t xml:space="preserve">Retinitis pigmentosa</t>
  </si>
  <si>
    <t xml:space="preserve">STGD</t>
  </si>
  <si>
    <t xml:space="preserve">Stargardt disease</t>
  </si>
  <si>
    <t xml:space="preserve">CDD</t>
  </si>
  <si>
    <t xml:space="preserve">Cone dysfunction disorders</t>
  </si>
  <si>
    <t xml:space="preserve">USH</t>
  </si>
  <si>
    <t xml:space="preserve">Usher syndrome</t>
  </si>
  <si>
    <t xml:space="preserve">Bardet-Biedl syndrome</t>
  </si>
  <si>
    <t xml:space="preserve">Joubert syndrome (tested)</t>
  </si>
  <si>
    <t xml:space="preserve">Leber congenital amaurosis</t>
  </si>
  <si>
    <t xml:space="preserve">X-linked retinoschisis</t>
  </si>
  <si>
    <t xml:space="preserve">AS</t>
  </si>
  <si>
    <t xml:space="preserve">Alstrom syndrome (reports)</t>
  </si>
  <si>
    <t xml:space="preserve">Total</t>
  </si>
  <si>
    <t xml:space="preserve">Note: Alström count = number of reports (9); Joubert = patients tested. Other IRD phenotypes (CSNB, achromatopsia, choroideremia, FEVR, etc.) were not tallied separately in the source, so their genes fall back to the gene-contribution floor.</t>
  </si>
  <si>
    <t xml:space="preserve">Within-phenotype gene shares reported in Indian IRD cohorts → share of all Indian IRD</t>
  </si>
  <si>
    <t xml:space="preserve">Source: Hum Genomics 2026;20:42 (summary of 628 genotyped Indian cases, 120 genes). Share = proportion of genotyped/solved cases (or variants, STGD &amp; USH) within that phenotype. Assumes unsolved cases have the same gene distribution.</t>
  </si>
  <si>
    <t xml:space="preserve">Share within phenotype</t>
  </si>
  <si>
    <t xml:space="preserve">n genotyped (basis)</t>
  </si>
  <si>
    <t xml:space="preserve">Source detail</t>
  </si>
  <si>
    <t xml:space="preserve">Phenotype fraction of all IRD</t>
  </si>
  <si>
    <t xml:space="preserve">Contribution to all Indian IRD</t>
  </si>
  <si>
    <t xml:space="preserve">~15% of RP variants</t>
  </si>
  <si>
    <t xml:space="preserve">&gt;7%</t>
  </si>
  <si>
    <t xml:space="preserve">~5%</t>
  </si>
  <si>
    <t xml:space="preserve">&gt;3% (3.5% used)</t>
  </si>
  <si>
    <t xml:space="preserve">~3%</t>
  </si>
  <si>
    <t xml:space="preserve">18.97%</t>
  </si>
  <si>
    <t xml:space="preserve">17.51%</t>
  </si>
  <si>
    <t xml:space="preserve">13.13%</t>
  </si>
  <si>
    <t xml:space="preserve">reported 5-10% (6% used)</t>
  </si>
  <si>
    <t xml:space="preserve">2.18%</t>
  </si>
  <si>
    <t xml:space="preserve">51 of 57 variants</t>
  </si>
  <si>
    <t xml:space="preserve">3 of 57 variants (C2orf71)</t>
  </si>
  <si>
    <t xml:space="preserve">1 of 57 variants</t>
  </si>
  <si>
    <t xml:space="preserve">19.56%</t>
  </si>
  <si>
    <t xml:space="preserve">13.04%</t>
  </si>
  <si>
    <t xml:space="preserve">8.69%</t>
  </si>
  <si>
    <t xml:space="preserve">27.11%</t>
  </si>
  <si>
    <t xml:space="preserve">15.25%</t>
  </si>
  <si>
    <t xml:space="preserve">8.47%</t>
  </si>
  <si>
    <t xml:space="preserve">6.77%</t>
  </si>
  <si>
    <t xml:space="preserve">1.69%</t>
  </si>
  <si>
    <t xml:space="preserve">21.42%</t>
  </si>
  <si>
    <t xml:space="preserve">16.66% (BBS6)</t>
  </si>
  <si>
    <t xml:space="preserve">9.52%</t>
  </si>
  <si>
    <t xml:space="preserve">9.52% (BBS3)</t>
  </si>
  <si>
    <t xml:space="preserve">3 of 5 reported variants - VERY SPARSE</t>
  </si>
  <si>
    <t xml:space="preserve">sole gene</t>
  </si>
  <si>
    <t xml:space="preserve">ARIDE-CAP cohort gene counts (optional override)</t>
  </si>
  <si>
    <t xml:space="preserve">Enter the number of SOLVED families per gene (column B). Example: if 14 of your solved families are ABCA4, type 14 against ABCA4. Then on Inputs set 'Gene-contribution source' = ARIDE cohort.</t>
  </si>
  <si>
    <t xml:space="preserve">Total solved families:</t>
  </si>
  <si>
    <t xml:space="preserve">Solved families (enter)</t>
  </si>
  <si>
    <t xml:space="preserve">Share of solved cohort</t>
  </si>
  <si>
    <t xml:space="preserve">Published gene-specific or IRD-specific frequency specifications</t>
  </si>
  <si>
    <t xml:space="preserve">Gene / scope</t>
  </si>
  <si>
    <t xml:space="preserve">BA1</t>
  </si>
  <si>
    <t xml:space="preserve">BS1</t>
  </si>
  <si>
    <t xml:space="preserve">PM2</t>
  </si>
  <si>
    <t xml:space="preserve">Metric</t>
  </si>
  <si>
    <t xml:space="preserve">Source</t>
  </si>
  <si>
    <t xml:space="preserve">grpmax FAF ≥ 8×10⁻³</t>
  </si>
  <si>
    <t xml:space="preserve">8×10⁻⁴ to &lt;8×10⁻³</t>
  </si>
  <si>
    <t xml:space="preserve">Supporting: FAF ≤ 2×10⁻⁴</t>
  </si>
  <si>
    <t xml:space="preserve">gnomAD grpmax (PopMax) FAF</t>
  </si>
  <si>
    <t xml:space="preserve">ClinGen LCA/EORD VCEP, RPE65 v1.0, approved 24-Oct-2023 (Zenodo 10.5281/zenodo.21434471)</t>
  </si>
  <si>
    <t xml:space="preserve">&gt;5% in males (default retained)</t>
  </si>
  <si>
    <t xml:space="preserve">≥ 8.3×10⁻⁵ in males</t>
  </si>
  <si>
    <t xml:space="preserve">Supporting: ≤ 5×10⁻⁵ in males</t>
  </si>
  <si>
    <t xml:space="preserve">Hemizygous male AF, highest subpopulation</t>
  </si>
  <si>
    <t xml:space="preserve">ClinGen XLIRD VCEP, RPGR v1.0.0, approved 16-May-2025</t>
  </si>
  <si>
    <t xml:space="preserve">≥ 2×10⁻⁴ in males</t>
  </si>
  <si>
    <t xml:space="preserve">≥ 2×10⁻⁵ in males</t>
  </si>
  <si>
    <t xml:space="preserve">Supporting: &lt; 2×10⁻⁶ in males</t>
  </si>
  <si>
    <t xml:space="preserve">Hemizygous male AF, gnomAD v4.1.0</t>
  </si>
  <si>
    <t xml:space="preserve">ClinGen XLIRD VCEP, RS1 v1.0.0; Hum Genet 2026 (doi 10.1007/s00439-026-02871-0)</t>
  </si>
  <si>
    <t xml:space="preserve">not stated</t>
  </si>
  <si>
    <t xml:space="preserve">&gt; 0.0163 in any gnomAD population</t>
  </si>
  <si>
    <t xml:space="preserve">Supporting: &lt; 1×10⁻⁴ in all populations</t>
  </si>
  <si>
    <t xml:space="preserve">Population-specific gnomAD AF</t>
  </si>
  <si>
    <t xml:space="preserve">Cornelis SS et al. Hum Mutat 2023:6815504</t>
  </si>
  <si>
    <t xml:space="preserve">USH2A, MYO7A, CDH23</t>
  </si>
  <si>
    <t xml:space="preserve">≥ 0.5%</t>
  </si>
  <si>
    <t xml:space="preserve">≥ 0.3%</t>
  </si>
  <si>
    <t xml:space="preserve">Supporting: ≤ 0.007%</t>
  </si>
  <si>
    <t xml:space="preserve">Highest-population AF</t>
  </si>
  <si>
    <t xml:space="preserve">ClinGen Hearing Loss VCEP v2.0.0 (2022); Oza AM et al. Hum Mutat 2018;39:1593-1613</t>
  </si>
  <si>
    <t xml:space="preserve">All IRD genes (Japan)</t>
  </si>
  <si>
    <t xml:space="preserve">&gt; 0.001</t>
  </si>
  <si>
    <t xml:space="preserve">not specified</t>
  </si>
  <si>
    <t xml:space="preserve">&lt; 0.00002</t>
  </si>
  <si>
    <t xml:space="preserve">gnomAD / HGVD / ToMMo</t>
  </si>
  <si>
    <t xml:space="preserve">Fujinami K et al. Jpn J Ophthalmol 2024;68:389-399</t>
  </si>
  <si>
    <t xml:space="preserve">&gt; 0.0003</t>
  </si>
  <si>
    <t xml:space="preserve">&lt; 0.00001</t>
  </si>
  <si>
    <t xml:space="preserve">Methods — how each cut-off is calculated</t>
  </si>
  <si>
    <t xml:space="preserve">Step 1 — Prevalence of IRD in India (P).</t>
  </si>
  <si>
    <t xml:space="preserve">Population-based studies report RP prevalence of 0.10–0.17% in Indian adults. RP makes up the 'RP share' of reported Indian IRD cases (Phenotype_Mix). Total IRD prevalence = RP prevalence ÷ RP share. Each criterion uses the prevalence that errs toward safety: BS1 and BA1 use the UPPER estimate (highest RP prevalence), so benign ceilings are never too low; PM2 uses the POINT estimate (mean), plus the optional inbreeding coefficient.</t>
  </si>
  <si>
    <t xml:space="preserve">Step 2 — Gene contribution (g) = the fraction of all Indian IRD caused by this gene.</t>
  </si>
  <si>
    <t xml:space="preserve">g = Σ over phenotypes [ (phenotype fraction of all IRD) × (gene share within that phenotype) ]. Example: ABCA4 = STGD fraction × 0.89 + cone-dysfunction fraction × 0.196. Genes without Indian data (or with smaller shares) get the floor (default 1%).</t>
  </si>
  <si>
    <t xml:space="preserve">Step 3 — Maximum credible total pathogenic allele frequency in the gene (Q). Whiffin et al. 2017, adapted by inheritance:</t>
  </si>
  <si>
    <t xml:space="preserve">Autosomal recessive:  prevalence due to gene = penetrance × Q²  →  Q = √(P × g / penetrance). With inbreeding coefficient F: P×g/pen = (1–F)Q² + F·Q → Q = [–F + √(F² + 4(1–F)·P·g/pen)] / [2(1–F)].</t>
  </si>
  <si>
    <t xml:space="preserve">Autosomal dominant:  each affected person carries one allele out of two  →  Q = P × g / (2 × penetrance).</t>
  </si>
  <si>
    <t xml:space="preserve">X-linked (male AF):  almost all affected are males, so prevalence among males ≈ 2P  →  Q_male = 2 × P × g / penetrance.</t>
  </si>
  <si>
    <t xml:space="preserve">Step 4 — Single-variant ceilings.</t>
  </si>
  <si>
    <t xml:space="preserve">BS1 = Q(upper P, F = 0) × allelic share (default 0.5, or gene override). This is the Whiffin 'maximum credible population allele frequency': no single pathogenic variant should be more common than this.</t>
  </si>
  <si>
    <t xml:space="preserve">BA1 = BS1 × 10 (capped at 5%). This follows the ClinGen RPE65 and RS1 expert panels, which both set BA1 one order of magnitude above BS1, leaving a safety margin for model error.</t>
  </si>
  <si>
    <t xml:space="preserve">PM2_Supporting = Q(point P, with F) × 0.05. Meaning: the variant is at most as common as an allele explaining ≤5% of the gene's disease. PM2 is applied at Supporting strength per ClinGen SVI (2020).</t>
  </si>
  <si>
    <t xml:space="preserve">Step 5 — Comparing a variant.</t>
  </si>
  <si>
    <t xml:space="preserve">Use the filtering allele frequency (FAF95, the lower 95% confidence bound of the AF) of the gnomAD genetic-ancestry group with the highest frequency ('grpmax'). Because gnomAD SAS includes Indian and Pakistani samples, also look at SAS directly and at IndiGen / GenomeIndia. Whiffin also recommend turning the ceiling into a maximum tolerated allele count for a given sample size (95% Poisson bound) when AF is estimated from few alleles.</t>
  </si>
  <si>
    <t xml:space="preserve">Step 6 — Recommended value. Where a published specification exists (ClinGen VCEP for RPE65, RPGR, RS1; Hearing-Loss VCEP for USH2A/MYO7A/CDH23; Cornelis 2023 for ABCA4), the RECOMMENDED columns take the published value; otherwise the calculated one. Column Y shows whether the Indian calculation is stricter or more lenient than the published value — a useful India-specific signal to review, not a reason to override a VCEP.</t>
  </si>
  <si>
    <t xml:space="preserve">Main limitations</t>
  </si>
  <si>
    <t xml:space="preserve">• Indian gene shares derive from published literature (628 genotyped cases), with publication and ascertainment bias; replace with ARIDE-CAP data when available.  • RP prevalence studies are in adults and may miss early-lethal syndromic forms.  • Mixed AR/AD genes are given the same g for both modes.  • Hypomorphic and reduced-penetrance alleles violate the model's assumptions.  • gnomAD under-represents Indian sub-populations; founder alleles can be locally frequent in specific communities (endogamy).</t>
  </si>
  <si>
    <t xml:space="preserve">References</t>
  </si>
  <si>
    <t xml:space="preserve">Whiffin N, Minikel E, Walsh R, et al. Using high-resolution variant frequencies to empower clinical genome interpretation. Genet Med 2017;19(10):1151-1158. doi:10.1038/gim.2017.26 (maximum credible allele frequency framework; calculator at cardiodb.org/allelefrequencyapp).</t>
  </si>
  <si>
    <t xml:space="preserve">Richards S, Aziz N, Bale S, et al. Standards and guidelines for the interpretation of sequence variants (ACMG/AMP). Genet Med 2015;17(5):405-424.</t>
  </si>
  <si>
    <t xml:space="preserve">Elucidating the genetic landscape of inherited retinal disorders in India. Hum Genomics 2026;20:42. doi:10.1186/s40246-025-00903-w (Indian phenotype mix and gene shares).</t>
  </si>
  <si>
    <t xml:space="preserve">Sen P, Bhargava A, George R, et al. Prevalence of retinitis pigmentosa in South Indian population aged above 40 years. Ophthalmic Epidemiol 2008;15(4):279-281.</t>
  </si>
  <si>
    <t xml:space="preserve">Nangia V, Jonas JB, et al. Prevalence of retinitis pigmentosa in India: the Central India Eye and Medical Study. Acta Ophthalmol 2012;90(8):e649-e650.</t>
  </si>
  <si>
    <t xml:space="preserve">Genetics of Inherited Retinal Diseases in Understudied Populations. Front Genet 2022;13:858556 (summary of Indian prevalence incl. APEDS; CERKL founder allele, Sen et al. 2020).</t>
  </si>
  <si>
    <t xml:space="preserve">Visual impairment and blindness due to retinitis pigmentosa in India: 15-year follow-up of the Andhra Pradesh Eye Disease Study cohort. Indian J Ophthalmol 2023 (PubMed 36872706).</t>
  </si>
  <si>
    <t xml:space="preserve">ClinGen Leber Congenital Amaurosis/early onset Retinal Dystrophy VCEP. Specifications to the ACMG/AMP guidelines for RPE65, v1.0 (approved 24-Oct-2023). doi:10.5281/zenodo.21434471.</t>
  </si>
  <si>
    <t xml:space="preserve">ClinGen X-linked Inherited Retinal Disease VCEP. Specifications for RPGR v1.0.0 (approved 16-May-2025) and RS1 v1.0.0. ClinGen Criteria Specification Registry.</t>
  </si>
  <si>
    <t xml:space="preserve">Development of RS1-specific ACMG/AMP variant classification criteria with pilot variant curation. Hum Genet 2026. doi:10.1007/s00439-026-02871-0.</t>
  </si>
  <si>
    <t xml:space="preserve">Cornelis SS, et al. Compendium of clinical variant classification for 2,246 unique ABCA4 variants ... using a modified ACMG/AMP framework. Hum Mutat 2023:6815504. doi:10.1155/2023/6815504.</t>
  </si>
  <si>
    <t xml:space="preserve">Oza AM, DiStefano MT, Hemphill SE, et al. Expert specification of the ACMG/AMP variant interpretation guidelines for genetic hearing loss. Hum Mutat 2018;39(11):1593-1613; ClinGen HL VCEP specifications v2.0.0 (2022).</t>
  </si>
  <si>
    <t xml:space="preserve">Fujinami K, Nishiguchi KM, Oishi A, et al. Specification of variant interpretation guidelines for inherited retinal dystrophy in Japan. Jpn J Ophthalmol 2024;68(4):389-399.</t>
  </si>
  <si>
    <t xml:space="preserve">ClinGen Sequence Variant Interpretation WG. Recommendation for PM2 downgrade to Supporting (v1.0, 2020).</t>
  </si>
  <si>
    <t xml:space="preserve">Hanany M, Rivolta C, Sharon D. Worldwide carrier frequency and genetic prevalence of autosomal recessive inherited retinal diseases. PNAS 2020;117(5):2710-2716 (gnomAD-based per-gene genetic prevalence incl. South Asians — useful cross-check).</t>
  </si>
  <si>
    <t xml:space="preserve">RetNet — Retinal Information Network (sph.uth.edu/retnet) — source of the IRD gene list.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</si>
</sst>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%"/>
    <numFmt numFmtId="167" formatCode="0.000%"/>
    <numFmt numFmtId="168" formatCode="#,##0"/>
    <numFmt numFmtId="169" formatCode="0.00"/>
    <numFmt numFmtId="170" formatCode="0"/>
    <numFmt numFmtId="171" formatCode="0.000"/>
    <numFmt numFmtId="172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24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12324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2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23.85" hidden="false" customHeight="false" outlineLevel="0" collapsed="false">
      <c r="A24" s="2" t="s">
        <v>18</v>
      </c>
    </row>
    <row r="25" customFormat="false" ht="23.85" hidden="false" customHeight="false" outlineLevel="0" collapsed="false">
      <c r="A25" s="2" t="s">
        <v>19</v>
      </c>
    </row>
    <row r="26" customFormat="false" ht="23.85" hidden="false" customHeight="false" outlineLevel="0" collapsed="false">
      <c r="A26" s="2" t="s">
        <v>20</v>
      </c>
    </row>
    <row r="27" customFormat="false" ht="35.05" hidden="false" customHeight="false" outlineLevel="0" collapsed="false">
      <c r="A27" s="2" t="s">
        <v>21</v>
      </c>
    </row>
    <row r="28" customFormat="false" ht="23.85" hidden="false" customHeight="false" outlineLevel="0" collapsed="false">
      <c r="A28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4" t="s">
        <v>23</v>
      </c>
    </row>
    <row r="3" customFormat="false" ht="15" hidden="false" customHeight="false" outlineLevel="0" collapsed="false">
      <c r="A3" s="5" t="s">
        <v>24</v>
      </c>
      <c r="B3" s="6"/>
      <c r="C3" s="6"/>
    </row>
    <row r="4" customFormat="false" ht="15" hidden="false" customHeight="false" outlineLevel="0" collapsed="false">
      <c r="A4" s="7" t="s">
        <v>25</v>
      </c>
      <c r="B4" s="8" t="n">
        <v>0.0017</v>
      </c>
      <c r="C4" s="7" t="s">
        <v>26</v>
      </c>
    </row>
    <row r="5" customFormat="false" ht="15" hidden="false" customHeight="false" outlineLevel="0" collapsed="false">
      <c r="A5" s="7" t="s">
        <v>27</v>
      </c>
      <c r="B5" s="8" t="n">
        <v>0.0013</v>
      </c>
      <c r="C5" s="7" t="s">
        <v>28</v>
      </c>
    </row>
    <row r="6" customFormat="false" ht="15" hidden="false" customHeight="false" outlineLevel="0" collapsed="false">
      <c r="A6" s="7" t="s">
        <v>29</v>
      </c>
      <c r="B6" s="8" t="n">
        <v>0.001</v>
      </c>
      <c r="C6" s="7" t="s">
        <v>30</v>
      </c>
    </row>
    <row r="7" customFormat="false" ht="15" hidden="false" customHeight="false" outlineLevel="0" collapsed="false">
      <c r="A7" s="7" t="s">
        <v>31</v>
      </c>
      <c r="B7" s="9" t="n">
        <f aca="false">INDEX(Phenotype_Mix!$D:$D,MATCH("RP",Phenotype_Mix!$A:$A,0))</f>
        <v>0.769281914893617</v>
      </c>
      <c r="C7" s="7" t="s">
        <v>32</v>
      </c>
    </row>
    <row r="8" customFormat="false" ht="15" hidden="false" customHeight="false" outlineLevel="0" collapsed="false">
      <c r="A8" s="7" t="s">
        <v>33</v>
      </c>
      <c r="B8" s="10" t="n">
        <f aca="false">AVERAGE(B4:B6)/B7</f>
        <v>0.00173321809276865</v>
      </c>
      <c r="C8" s="7" t="s">
        <v>34</v>
      </c>
    </row>
    <row r="9" customFormat="false" ht="15" hidden="false" customHeight="false" outlineLevel="0" collapsed="false">
      <c r="A9" s="7" t="s">
        <v>35</v>
      </c>
      <c r="B9" s="10" t="n">
        <f aca="false">MAX(B4:B6)/B7</f>
        <v>0.00220985306828003</v>
      </c>
      <c r="C9" s="7" t="s">
        <v>36</v>
      </c>
    </row>
    <row r="10" customFormat="false" ht="15" hidden="false" customHeight="false" outlineLevel="0" collapsed="false">
      <c r="A10" s="7" t="s">
        <v>37</v>
      </c>
      <c r="B10" s="11" t="n">
        <f aca="false">1/B8</f>
        <v>576.961436170213</v>
      </c>
      <c r="C10" s="7"/>
    </row>
    <row r="11" customFormat="false" ht="15" hidden="false" customHeight="false" outlineLevel="0" collapsed="false">
      <c r="A11" s="7" t="s">
        <v>38</v>
      </c>
      <c r="B11" s="11" t="n">
        <f aca="false">1/B9</f>
        <v>452.518773466834</v>
      </c>
      <c r="C11" s="7"/>
    </row>
    <row r="13" customFormat="false" ht="15" hidden="false" customHeight="false" outlineLevel="0" collapsed="false">
      <c r="A13" s="5" t="s">
        <v>39</v>
      </c>
      <c r="B13" s="6"/>
      <c r="C13" s="6"/>
    </row>
    <row r="14" customFormat="false" ht="15" hidden="false" customHeight="false" outlineLevel="0" collapsed="false">
      <c r="A14" s="7" t="s">
        <v>40</v>
      </c>
      <c r="B14" s="12" t="n">
        <v>1</v>
      </c>
      <c r="C14" s="7" t="s">
        <v>41</v>
      </c>
    </row>
    <row r="15" customFormat="false" ht="15" hidden="false" customHeight="false" outlineLevel="0" collapsed="false">
      <c r="A15" s="7" t="s">
        <v>42</v>
      </c>
      <c r="B15" s="12" t="n">
        <v>0.5</v>
      </c>
      <c r="C15" s="7" t="s">
        <v>43</v>
      </c>
    </row>
    <row r="16" customFormat="false" ht="15" hidden="false" customHeight="false" outlineLevel="0" collapsed="false">
      <c r="A16" s="7" t="s">
        <v>44</v>
      </c>
      <c r="B16" s="12" t="n">
        <v>1</v>
      </c>
      <c r="C16" s="7"/>
    </row>
    <row r="18" customFormat="false" ht="15" hidden="false" customHeight="false" outlineLevel="0" collapsed="false">
      <c r="A18" s="5" t="s">
        <v>45</v>
      </c>
      <c r="B18" s="6"/>
      <c r="C18" s="6"/>
    </row>
    <row r="19" customFormat="false" ht="15" hidden="false" customHeight="false" outlineLevel="0" collapsed="false">
      <c r="A19" s="7" t="s">
        <v>46</v>
      </c>
      <c r="B19" s="13" t="n">
        <v>10</v>
      </c>
      <c r="C19" s="7" t="s">
        <v>47</v>
      </c>
    </row>
    <row r="20" customFormat="false" ht="15" hidden="false" customHeight="false" outlineLevel="0" collapsed="false">
      <c r="A20" s="7" t="s">
        <v>48</v>
      </c>
      <c r="B20" s="12" t="n">
        <v>0.5</v>
      </c>
      <c r="C20" s="7" t="s">
        <v>49</v>
      </c>
    </row>
    <row r="21" customFormat="false" ht="15" hidden="false" customHeight="false" outlineLevel="0" collapsed="false">
      <c r="A21" s="7" t="s">
        <v>50</v>
      </c>
      <c r="B21" s="12" t="n">
        <v>0.05</v>
      </c>
      <c r="C21" s="7" t="s">
        <v>51</v>
      </c>
    </row>
    <row r="23" customFormat="false" ht="15" hidden="false" customHeight="false" outlineLevel="0" collapsed="false">
      <c r="A23" s="5" t="s">
        <v>52</v>
      </c>
      <c r="B23" s="6"/>
      <c r="C23" s="6"/>
    </row>
    <row r="24" customFormat="false" ht="15" hidden="false" customHeight="false" outlineLevel="0" collapsed="false">
      <c r="A24" s="7" t="s">
        <v>53</v>
      </c>
      <c r="B24" s="14" t="n">
        <v>0.01</v>
      </c>
      <c r="C24" s="7" t="s">
        <v>54</v>
      </c>
    </row>
    <row r="25" customFormat="false" ht="15" hidden="false" customHeight="false" outlineLevel="0" collapsed="false">
      <c r="A25" s="7" t="s">
        <v>55</v>
      </c>
      <c r="B25" s="15" t="n">
        <v>0</v>
      </c>
      <c r="C25" s="7" t="s">
        <v>56</v>
      </c>
    </row>
    <row r="26" customFormat="false" ht="15" hidden="false" customHeight="false" outlineLevel="0" collapsed="false">
      <c r="A26" s="7" t="s">
        <v>57</v>
      </c>
      <c r="B26" s="14" t="n">
        <v>0.05</v>
      </c>
      <c r="C26" s="7" t="s">
        <v>58</v>
      </c>
    </row>
    <row r="28" customFormat="false" ht="15" hidden="false" customHeight="false" outlineLevel="0" collapsed="false">
      <c r="A28" s="5" t="s">
        <v>59</v>
      </c>
      <c r="B28" s="6"/>
      <c r="C28" s="6"/>
    </row>
    <row r="29" customFormat="false" ht="15" hidden="false" customHeight="false" outlineLevel="0" collapsed="false">
      <c r="A29" s="7" t="s">
        <v>60</v>
      </c>
      <c r="B29" s="16" t="s">
        <v>61</v>
      </c>
      <c r="C29" s="7" t="s">
        <v>62</v>
      </c>
    </row>
    <row r="30" customFormat="false" ht="15" hidden="false" customHeight="false" outlineLevel="0" collapsed="false">
      <c r="A30" s="7" t="s">
        <v>63</v>
      </c>
      <c r="B30" s="13" t="n">
        <v>50</v>
      </c>
      <c r="C30" s="7" t="s">
        <v>64</v>
      </c>
    </row>
  </sheetData>
  <dataValidations count="1">
    <dataValidation allowBlank="false" errorStyle="stop" operator="between" showDropDown="false" showErrorMessage="false" showInputMessage="false" sqref="B29" type="list">
      <formula1>"Indian literature,ARIDE cohort"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20" min="15" style="0" width="11"/>
    <col collapsed="false" customWidth="true" hidden="false" outlineLevel="0" max="21" min="21" style="0" width="16"/>
    <col collapsed="false" customWidth="true" hidden="false" outlineLevel="0" max="24" min="22" style="0" width="13"/>
    <col collapsed="false" customWidth="true" hidden="false" outlineLevel="0" max="25" min="25" style="0" width="18"/>
    <col collapsed="false" customWidth="true" hidden="false" outlineLevel="0" max="26" min="26" style="0" width="28"/>
    <col collapsed="false" customWidth="true" hidden="false" outlineLevel="0" max="27" min="27" style="0" width="55"/>
    <col collapsed="false" customWidth="true" hidden="false" outlineLevel="0" max="28" min="28" style="0" width="50"/>
  </cols>
  <sheetData>
    <row r="1" customFormat="false" ht="17.35" hidden="false" customHeight="false" outlineLevel="0" collapsed="false">
      <c r="A1" s="4" t="s">
        <v>65</v>
      </c>
    </row>
    <row r="2" customFormat="false" ht="30" hidden="false" customHeight="true" outlineLevel="0" collapsed="false">
      <c r="A2" s="17" t="s">
        <v>66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4" customFormat="false" ht="69.75" hidden="false" customHeight="true" outlineLevel="0" collapsed="false">
      <c r="A4" s="18" t="s">
        <v>67</v>
      </c>
      <c r="B4" s="18" t="s">
        <v>68</v>
      </c>
      <c r="C4" s="18" t="s">
        <v>69</v>
      </c>
      <c r="D4" s="18" t="s">
        <v>70</v>
      </c>
      <c r="E4" s="18" t="s">
        <v>71</v>
      </c>
      <c r="F4" s="18" t="s">
        <v>72</v>
      </c>
      <c r="G4" s="18" t="s">
        <v>73</v>
      </c>
      <c r="H4" s="18" t="s">
        <v>74</v>
      </c>
      <c r="I4" s="18" t="s">
        <v>75</v>
      </c>
      <c r="J4" s="18" t="s">
        <v>76</v>
      </c>
      <c r="K4" s="18" t="s">
        <v>77</v>
      </c>
      <c r="L4" s="18" t="s">
        <v>78</v>
      </c>
      <c r="M4" s="18" t="s">
        <v>79</v>
      </c>
      <c r="N4" s="18" t="s">
        <v>80</v>
      </c>
      <c r="O4" s="18" t="s">
        <v>81</v>
      </c>
      <c r="P4" s="18" t="s">
        <v>82</v>
      </c>
      <c r="Q4" s="18" t="s">
        <v>83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88</v>
      </c>
      <c r="W4" s="18" t="s">
        <v>89</v>
      </c>
      <c r="X4" s="18" t="s">
        <v>90</v>
      </c>
      <c r="Y4" s="18" t="s">
        <v>91</v>
      </c>
      <c r="Z4" s="18" t="s">
        <v>92</v>
      </c>
      <c r="AA4" s="18" t="s">
        <v>93</v>
      </c>
      <c r="AB4" s="18" t="s">
        <v>94</v>
      </c>
    </row>
    <row r="5" customFormat="false" ht="15" hidden="false" customHeight="false" outlineLevel="0" collapsed="false">
      <c r="A5" s="19" t="s">
        <v>95</v>
      </c>
      <c r="B5" s="20" t="s">
        <v>96</v>
      </c>
      <c r="C5" s="20" t="s">
        <v>97</v>
      </c>
      <c r="D5" s="21" t="n">
        <f aca="false">SUMIF(Indian_Gene_Shares!$B$5:$B$47,A5,Indian_Gene_Shares!$G$5:$G$47)</f>
        <v>0.10130897131459</v>
      </c>
      <c r="E5" s="9" t="n">
        <f aca="false">IFERROR(INDEX(ARIDE_Cohort!$C$6:$C$207,MATCH(A5,ARIDE_Cohort!$A$6:$A$207,0)),0)</f>
        <v>0</v>
      </c>
      <c r="F5" s="22" t="n">
        <f aca="false">MAX(Inputs!$B$24,IF(AND(Inputs!$B$29="ARIDE cohort",ARIDE_Cohort!$B$3&gt;=Inputs!$B$30),E5,D5))</f>
        <v>0.10130897131459</v>
      </c>
      <c r="G5" s="20" t="str">
        <f aca="false">IF(AND(Inputs!$B$29="ARIDE cohort",ARIDE_Cohort!$B$3&gt;=Inputs!$B$30),IF(E5&gt;Inputs!$B$24,"ARIDE cohort","Floor (ARIDE share below floor)"),IF(D5&gt;Inputs!$B$24,"Indian literature",IF(D5&gt;0,"Floor (Indian share below floor)","Floor (no Indian data)")))</f>
        <v>Indian literature</v>
      </c>
      <c r="H5" s="23" t="n">
        <f aca="false">IF(B5="AR",Inputs!$B$14,IF(B5="AD",Inputs!$B$15,Inputs!$B$16))</f>
        <v>1</v>
      </c>
      <c r="I5" s="12"/>
      <c r="J5" s="24" t="n">
        <f aca="false">IF(I5="",H5,I5)</f>
        <v>1</v>
      </c>
      <c r="K5" s="12"/>
      <c r="L5" s="24" t="n">
        <f aca="false">IF(K5="",Inputs!$B$20,K5)</f>
        <v>0.5</v>
      </c>
      <c r="M5" s="25" t="n">
        <f aca="false">IF(B5="AR",SQRT(Inputs!$B$9*F5/J5),IF(B5="AD",Inputs!$B$9*F5/(2*J5),2*Inputs!$B$9*F5/J5))</f>
        <v>0.0149625512899318</v>
      </c>
      <c r="N5" s="25" t="n">
        <f aca="false">IF(B5="AR",IF(Inputs!$B$25=0,SQRT(Inputs!$B$8*F5/J5),(-Inputs!$B$25+SQRT(Inputs!$B$25^2+4*(1-Inputs!$B$25)*Inputs!$B$8*F5/J5))/(2*(1-Inputs!$B$25))),IF(B5="AD",Inputs!$B$8*F5/(2*J5),2*Inputs!$B$8*F5/J5))</f>
        <v>0.0132510581480208</v>
      </c>
      <c r="O5" s="25" t="n">
        <f aca="false">MIN(Inputs!$B$26,M5*L5)</f>
        <v>0.0074812756449659</v>
      </c>
      <c r="P5" s="25" t="n">
        <f aca="false">MIN(Inputs!$B$26,O5*Inputs!$B$19)</f>
        <v>0.05</v>
      </c>
      <c r="Q5" s="25" t="n">
        <f aca="false">MIN(O5,N5*Inputs!$B$21)</f>
        <v>0.000662552907401038</v>
      </c>
      <c r="R5" s="26"/>
      <c r="S5" s="27" t="n">
        <v>0.0163</v>
      </c>
      <c r="T5" s="27" t="n">
        <v>0.0001</v>
      </c>
      <c r="U5" s="20" t="str">
        <f aca="false">IF(COUNT(R5:T5)&gt;0,"Published spec (+calc where blank)","Calculated (this workbook)")</f>
        <v>Published spec (+calc where blank)</v>
      </c>
      <c r="V5" s="28" t="n">
        <f aca="false">IF(R5="",MAX(P5,W5),R5)</f>
        <v>0.05</v>
      </c>
      <c r="W5" s="28" t="n">
        <f aca="false">IF(S5="",O5,S5)</f>
        <v>0.0163</v>
      </c>
      <c r="X5" s="28" t="n">
        <f aca="false">IF(T5="",Q5,T5)</f>
        <v>0.0001</v>
      </c>
      <c r="Y5" s="20" t="str">
        <f aca="false">IF(S5="","",IF(O5&lt;S5,"Calc STRICTER (lower)","Calc more lenient (higher)"))</f>
        <v>Calc STRICTER (lower)</v>
      </c>
      <c r="Z5" s="20" t="str">
        <f aca="false">IF(B5="XL","Hemizygous male AF (grpmax)","grpmax FAF95; check SAS, IndiGen, GenomeIndia")</f>
        <v>grpmax FAF95; check SAS, IndiGen, GenomeIndia</v>
      </c>
      <c r="AA5" s="20" t="s">
        <v>98</v>
      </c>
      <c r="AB5" s="20" t="s">
        <v>99</v>
      </c>
    </row>
    <row r="6" customFormat="false" ht="15" hidden="false" customHeight="false" outlineLevel="0" collapsed="false">
      <c r="A6" s="19" t="s">
        <v>100</v>
      </c>
      <c r="B6" s="20" t="s">
        <v>96</v>
      </c>
      <c r="C6" s="20" t="s">
        <v>101</v>
      </c>
      <c r="D6" s="21" t="n">
        <f aca="false">SUMIF(Indian_Gene_Shares!$B$5:$B$47,A6,Indian_Gene_Shares!$G$5:$G$47)</f>
        <v>0</v>
      </c>
      <c r="E6" s="9" t="n">
        <f aca="false">IFERROR(INDEX(ARIDE_Cohort!$C$6:$C$207,MATCH(A6,ARIDE_Cohort!$A$6:$A$207,0)),0)</f>
        <v>0</v>
      </c>
      <c r="F6" s="22" t="n">
        <f aca="false">MAX(Inputs!$B$24,IF(AND(Inputs!$B$29="ARIDE cohort",ARIDE_Cohort!$B$3&gt;=Inputs!$B$30),E6,D6))</f>
        <v>0.01</v>
      </c>
      <c r="G6" s="20" t="str">
        <f aca="false">IF(AND(Inputs!$B$29="ARIDE cohort",ARIDE_Cohort!$B$3&gt;=Inputs!$B$30),IF(E6&gt;Inputs!$B$24,"ARIDE cohort","Floor (ARIDE share below floor)"),IF(D6&gt;Inputs!$B$24,"Indian literature",IF(D6&gt;0,"Floor (Indian share below floor)","Floor (no Indian data)")))</f>
        <v>Floor (no Indian data)</v>
      </c>
      <c r="H6" s="23" t="n">
        <f aca="false">IF(B6="AR",Inputs!$B$14,IF(B6="AD",Inputs!$B$15,Inputs!$B$16))</f>
        <v>1</v>
      </c>
      <c r="I6" s="12"/>
      <c r="J6" s="24" t="n">
        <f aca="false">IF(I6="",H6,I6)</f>
        <v>1</v>
      </c>
      <c r="K6" s="12"/>
      <c r="L6" s="24" t="n">
        <f aca="false">IF(K6="",Inputs!$B$20,K6)</f>
        <v>0.5</v>
      </c>
      <c r="M6" s="25" t="n">
        <f aca="false">IF(B6="AR",SQRT(Inputs!$B$9*F6/J6),IF(B6="AD",Inputs!$B$9*F6/(2*J6),2*Inputs!$B$9*F6/J6))</f>
        <v>0.00470090743184764</v>
      </c>
      <c r="N6" s="25" t="n">
        <f aca="false">IF(B6="AR",IF(Inputs!$B$25=0,SQRT(Inputs!$B$8*F6/J6),(-Inputs!$B$25+SQRT(Inputs!$B$25^2+4*(1-Inputs!$B$25)*Inputs!$B$8*F6/J6))/(2*(1-Inputs!$B$25))),IF(B6="AD",Inputs!$B$8*F6/(2*J6),2*Inputs!$B$8*F6/J6))</f>
        <v>0.00416319359719033</v>
      </c>
      <c r="O6" s="25" t="n">
        <f aca="false">MIN(Inputs!$B$26,M6*L6)</f>
        <v>0.00235045371592382</v>
      </c>
      <c r="P6" s="25" t="n">
        <f aca="false">MIN(Inputs!$B$26,O6*Inputs!$B$19)</f>
        <v>0.0235045371592382</v>
      </c>
      <c r="Q6" s="25" t="n">
        <f aca="false">MIN(O6,N6*Inputs!$B$21)</f>
        <v>0.000208159679859516</v>
      </c>
      <c r="R6" s="26"/>
      <c r="S6" s="26"/>
      <c r="T6" s="26"/>
      <c r="U6" s="20" t="str">
        <f aca="false">IF(COUNT(R6:T6)&gt;0,"Published spec (+calc where blank)","Calculated (this workbook)")</f>
        <v>Calculated (this workbook)</v>
      </c>
      <c r="V6" s="28" t="n">
        <f aca="false">IF(R6="",MAX(P6,W6),R6)</f>
        <v>0.0235045371592382</v>
      </c>
      <c r="W6" s="28" t="n">
        <f aca="false">IF(S6="",O6,S6)</f>
        <v>0.00235045371592382</v>
      </c>
      <c r="X6" s="28" t="n">
        <f aca="false">IF(T6="",Q6,T6)</f>
        <v>0.000208159679859516</v>
      </c>
      <c r="Y6" s="20" t="str">
        <f aca="false">IF(S6="","",IF(O6&lt;S6,"Calc STRICTER (lower)","Calc more lenient (higher)"))</f>
        <v/>
      </c>
      <c r="Z6" s="20" t="str">
        <f aca="false">IF(B6="XL","Hemizygous male AF (grpmax)","grpmax FAF95; check SAS, IndiGen, GenomeIndia")</f>
        <v>grpmax FAF95; check SAS, IndiGen, GenomeIndia</v>
      </c>
      <c r="AA6" s="20"/>
      <c r="AB6" s="20"/>
    </row>
    <row r="7" customFormat="false" ht="15" hidden="false" customHeight="false" outlineLevel="0" collapsed="false">
      <c r="A7" s="19" t="s">
        <v>102</v>
      </c>
      <c r="B7" s="20" t="s">
        <v>96</v>
      </c>
      <c r="C7" s="20" t="s">
        <v>103</v>
      </c>
      <c r="D7" s="21" t="n">
        <f aca="false">SUMIF(Indian_Gene_Shares!$B$5:$B$47,A7,Indian_Gene_Shares!$G$5:$G$47)</f>
        <v>0</v>
      </c>
      <c r="E7" s="9" t="n">
        <f aca="false">IFERROR(INDEX(ARIDE_Cohort!$C$6:$C$207,MATCH(A7,ARIDE_Cohort!$A$6:$A$207,0)),0)</f>
        <v>0</v>
      </c>
      <c r="F7" s="22" t="n">
        <f aca="false">MAX(Inputs!$B$24,IF(AND(Inputs!$B$29="ARIDE cohort",ARIDE_Cohort!$B$3&gt;=Inputs!$B$30),E7,D7))</f>
        <v>0.01</v>
      </c>
      <c r="G7" s="20" t="str">
        <f aca="false">IF(AND(Inputs!$B$29="ARIDE cohort",ARIDE_Cohort!$B$3&gt;=Inputs!$B$30),IF(E7&gt;Inputs!$B$24,"ARIDE cohort","Floor (ARIDE share below floor)"),IF(D7&gt;Inputs!$B$24,"Indian literature",IF(D7&gt;0,"Floor (Indian share below floor)","Floor (no Indian data)")))</f>
        <v>Floor (no Indian data)</v>
      </c>
      <c r="H7" s="23" t="n">
        <f aca="false">IF(B7="AR",Inputs!$B$14,IF(B7="AD",Inputs!$B$15,Inputs!$B$16))</f>
        <v>1</v>
      </c>
      <c r="I7" s="12"/>
      <c r="J7" s="24" t="n">
        <f aca="false">IF(I7="",H7,I7)</f>
        <v>1</v>
      </c>
      <c r="K7" s="12"/>
      <c r="L7" s="24" t="n">
        <f aca="false">IF(K7="",Inputs!$B$20,K7)</f>
        <v>0.5</v>
      </c>
      <c r="M7" s="25" t="n">
        <f aca="false">IF(B7="AR",SQRT(Inputs!$B$9*F7/J7),IF(B7="AD",Inputs!$B$9*F7/(2*J7),2*Inputs!$B$9*F7/J7))</f>
        <v>0.00470090743184764</v>
      </c>
      <c r="N7" s="25" t="n">
        <f aca="false">IF(B7="AR",IF(Inputs!$B$25=0,SQRT(Inputs!$B$8*F7/J7),(-Inputs!$B$25+SQRT(Inputs!$B$25^2+4*(1-Inputs!$B$25)*Inputs!$B$8*F7/J7))/(2*(1-Inputs!$B$25))),IF(B7="AD",Inputs!$B$8*F7/(2*J7),2*Inputs!$B$8*F7/J7))</f>
        <v>0.00416319359719033</v>
      </c>
      <c r="O7" s="25" t="n">
        <f aca="false">MIN(Inputs!$B$26,M7*L7)</f>
        <v>0.00235045371592382</v>
      </c>
      <c r="P7" s="25" t="n">
        <f aca="false">MIN(Inputs!$B$26,O7*Inputs!$B$19)</f>
        <v>0.0235045371592382</v>
      </c>
      <c r="Q7" s="25" t="n">
        <f aca="false">MIN(O7,N7*Inputs!$B$21)</f>
        <v>0.000208159679859516</v>
      </c>
      <c r="R7" s="26"/>
      <c r="S7" s="26"/>
      <c r="T7" s="26"/>
      <c r="U7" s="20" t="str">
        <f aca="false">IF(COUNT(R7:T7)&gt;0,"Published spec (+calc where blank)","Calculated (this workbook)")</f>
        <v>Calculated (this workbook)</v>
      </c>
      <c r="V7" s="28" t="n">
        <f aca="false">IF(R7="",MAX(P7,W7),R7)</f>
        <v>0.0235045371592382</v>
      </c>
      <c r="W7" s="28" t="n">
        <f aca="false">IF(S7="",O7,S7)</f>
        <v>0.00235045371592382</v>
      </c>
      <c r="X7" s="28" t="n">
        <f aca="false">IF(T7="",Q7,T7)</f>
        <v>0.000208159679859516</v>
      </c>
      <c r="Y7" s="20" t="str">
        <f aca="false">IF(S7="","",IF(O7&lt;S7,"Calc STRICTER (lower)","Calc more lenient (higher)"))</f>
        <v/>
      </c>
      <c r="Z7" s="20" t="str">
        <f aca="false">IF(B7="XL","Hemizygous male AF (grpmax)","grpmax FAF95; check SAS, IndiGen, GenomeIndia")</f>
        <v>grpmax FAF95; check SAS, IndiGen, GenomeIndia</v>
      </c>
      <c r="AA7" s="20"/>
      <c r="AB7" s="20"/>
    </row>
    <row r="8" customFormat="false" ht="15" hidden="false" customHeight="false" outlineLevel="0" collapsed="false">
      <c r="A8" s="19" t="s">
        <v>104</v>
      </c>
      <c r="B8" s="20" t="s">
        <v>96</v>
      </c>
      <c r="C8" s="20" t="s">
        <v>105</v>
      </c>
      <c r="D8" s="21" t="n">
        <f aca="false">SUMIF(Indian_Gene_Shares!$B$5:$B$47,A8,Indian_Gene_Shares!$G$5:$G$47)</f>
        <v>0</v>
      </c>
      <c r="E8" s="9" t="n">
        <f aca="false">IFERROR(INDEX(ARIDE_Cohort!$C$6:$C$207,MATCH(A8,ARIDE_Cohort!$A$6:$A$207,0)),0)</f>
        <v>0</v>
      </c>
      <c r="F8" s="22" t="n">
        <f aca="false">MAX(Inputs!$B$24,IF(AND(Inputs!$B$29="ARIDE cohort",ARIDE_Cohort!$B$3&gt;=Inputs!$B$30),E8,D8))</f>
        <v>0.01</v>
      </c>
      <c r="G8" s="20" t="str">
        <f aca="false">IF(AND(Inputs!$B$29="ARIDE cohort",ARIDE_Cohort!$B$3&gt;=Inputs!$B$30),IF(E8&gt;Inputs!$B$24,"ARIDE cohort","Floor (ARIDE share below floor)"),IF(D8&gt;Inputs!$B$24,"Indian literature",IF(D8&gt;0,"Floor (Indian share below floor)","Floor (no Indian data)")))</f>
        <v>Floor (no Indian data)</v>
      </c>
      <c r="H8" s="23" t="n">
        <f aca="false">IF(B8="AR",Inputs!$B$14,IF(B8="AD",Inputs!$B$15,Inputs!$B$16))</f>
        <v>1</v>
      </c>
      <c r="I8" s="12"/>
      <c r="J8" s="24" t="n">
        <f aca="false">IF(I8="",H8,I8)</f>
        <v>1</v>
      </c>
      <c r="K8" s="12"/>
      <c r="L8" s="24" t="n">
        <f aca="false">IF(K8="",Inputs!$B$20,K8)</f>
        <v>0.5</v>
      </c>
      <c r="M8" s="25" t="n">
        <f aca="false">IF(B8="AR",SQRT(Inputs!$B$9*F8/J8),IF(B8="AD",Inputs!$B$9*F8/(2*J8),2*Inputs!$B$9*F8/J8))</f>
        <v>0.00470090743184764</v>
      </c>
      <c r="N8" s="25" t="n">
        <f aca="false">IF(B8="AR",IF(Inputs!$B$25=0,SQRT(Inputs!$B$8*F8/J8),(-Inputs!$B$25+SQRT(Inputs!$B$25^2+4*(1-Inputs!$B$25)*Inputs!$B$8*F8/J8))/(2*(1-Inputs!$B$25))),IF(B8="AD",Inputs!$B$8*F8/(2*J8),2*Inputs!$B$8*F8/J8))</f>
        <v>0.00416319359719033</v>
      </c>
      <c r="O8" s="25" t="n">
        <f aca="false">MIN(Inputs!$B$26,M8*L8)</f>
        <v>0.00235045371592382</v>
      </c>
      <c r="P8" s="25" t="n">
        <f aca="false">MIN(Inputs!$B$26,O8*Inputs!$B$19)</f>
        <v>0.0235045371592382</v>
      </c>
      <c r="Q8" s="25" t="n">
        <f aca="false">MIN(O8,N8*Inputs!$B$21)</f>
        <v>0.000208159679859516</v>
      </c>
      <c r="R8" s="26"/>
      <c r="S8" s="26"/>
      <c r="T8" s="26"/>
      <c r="U8" s="20" t="str">
        <f aca="false">IF(COUNT(R8:T8)&gt;0,"Published spec (+calc where blank)","Calculated (this workbook)")</f>
        <v>Calculated (this workbook)</v>
      </c>
      <c r="V8" s="28" t="n">
        <f aca="false">IF(R8="",MAX(P8,W8),R8)</f>
        <v>0.0235045371592382</v>
      </c>
      <c r="W8" s="28" t="n">
        <f aca="false">IF(S8="",O8,S8)</f>
        <v>0.00235045371592382</v>
      </c>
      <c r="X8" s="28" t="n">
        <f aca="false">IF(T8="",Q8,T8)</f>
        <v>0.000208159679859516</v>
      </c>
      <c r="Y8" s="20" t="str">
        <f aca="false">IF(S8="","",IF(O8&lt;S8,"Calc STRICTER (lower)","Calc more lenient (higher)"))</f>
        <v/>
      </c>
      <c r="Z8" s="20" t="str">
        <f aca="false">IF(B8="XL","Hemizygous male AF (grpmax)","grpmax FAF95; check SAS, IndiGen, GenomeIndia")</f>
        <v>grpmax FAF95; check SAS, IndiGen, GenomeIndia</v>
      </c>
      <c r="AA8" s="20"/>
      <c r="AB8" s="20"/>
    </row>
    <row r="9" customFormat="false" ht="15" hidden="false" customHeight="false" outlineLevel="0" collapsed="false">
      <c r="A9" s="19" t="s">
        <v>106</v>
      </c>
      <c r="B9" s="20" t="s">
        <v>96</v>
      </c>
      <c r="C9" s="20" t="s">
        <v>107</v>
      </c>
      <c r="D9" s="21" t="n">
        <f aca="false">SUMIF(Indian_Gene_Shares!$B$5:$B$47,A9,Indian_Gene_Shares!$G$5:$G$47)</f>
        <v>0</v>
      </c>
      <c r="E9" s="9" t="n">
        <f aca="false">IFERROR(INDEX(ARIDE_Cohort!$C$6:$C$207,MATCH(A9,ARIDE_Cohort!$A$6:$A$207,0)),0)</f>
        <v>0</v>
      </c>
      <c r="F9" s="22" t="n">
        <f aca="false">MAX(Inputs!$B$24,IF(AND(Inputs!$B$29="ARIDE cohort",ARIDE_Cohort!$B$3&gt;=Inputs!$B$30),E9,D9))</f>
        <v>0.01</v>
      </c>
      <c r="G9" s="20" t="str">
        <f aca="false">IF(AND(Inputs!$B$29="ARIDE cohort",ARIDE_Cohort!$B$3&gt;=Inputs!$B$30),IF(E9&gt;Inputs!$B$24,"ARIDE cohort","Floor (ARIDE share below floor)"),IF(D9&gt;Inputs!$B$24,"Indian literature",IF(D9&gt;0,"Floor (Indian share below floor)","Floor (no Indian data)")))</f>
        <v>Floor (no Indian data)</v>
      </c>
      <c r="H9" s="23" t="n">
        <f aca="false">IF(B9="AR",Inputs!$B$14,IF(B9="AD",Inputs!$B$15,Inputs!$B$16))</f>
        <v>1</v>
      </c>
      <c r="I9" s="12"/>
      <c r="J9" s="24" t="n">
        <f aca="false">IF(I9="",H9,I9)</f>
        <v>1</v>
      </c>
      <c r="K9" s="12"/>
      <c r="L9" s="24" t="n">
        <f aca="false">IF(K9="",Inputs!$B$20,K9)</f>
        <v>0.5</v>
      </c>
      <c r="M9" s="25" t="n">
        <f aca="false">IF(B9="AR",SQRT(Inputs!$B$9*F9/J9),IF(B9="AD",Inputs!$B$9*F9/(2*J9),2*Inputs!$B$9*F9/J9))</f>
        <v>0.00470090743184764</v>
      </c>
      <c r="N9" s="25" t="n">
        <f aca="false">IF(B9="AR",IF(Inputs!$B$25=0,SQRT(Inputs!$B$8*F9/J9),(-Inputs!$B$25+SQRT(Inputs!$B$25^2+4*(1-Inputs!$B$25)*Inputs!$B$8*F9/J9))/(2*(1-Inputs!$B$25))),IF(B9="AD",Inputs!$B$8*F9/(2*J9),2*Inputs!$B$8*F9/J9))</f>
        <v>0.00416319359719033</v>
      </c>
      <c r="O9" s="25" t="n">
        <f aca="false">MIN(Inputs!$B$26,M9*L9)</f>
        <v>0.00235045371592382</v>
      </c>
      <c r="P9" s="25" t="n">
        <f aca="false">MIN(Inputs!$B$26,O9*Inputs!$B$19)</f>
        <v>0.0235045371592382</v>
      </c>
      <c r="Q9" s="25" t="n">
        <f aca="false">MIN(O9,N9*Inputs!$B$21)</f>
        <v>0.000208159679859516</v>
      </c>
      <c r="R9" s="26"/>
      <c r="S9" s="26"/>
      <c r="T9" s="26"/>
      <c r="U9" s="20" t="str">
        <f aca="false">IF(COUNT(R9:T9)&gt;0,"Published spec (+calc where blank)","Calculated (this workbook)")</f>
        <v>Calculated (this workbook)</v>
      </c>
      <c r="V9" s="28" t="n">
        <f aca="false">IF(R9="",MAX(P9,W9),R9)</f>
        <v>0.0235045371592382</v>
      </c>
      <c r="W9" s="28" t="n">
        <f aca="false">IF(S9="",O9,S9)</f>
        <v>0.00235045371592382</v>
      </c>
      <c r="X9" s="28" t="n">
        <f aca="false">IF(T9="",Q9,T9)</f>
        <v>0.000208159679859516</v>
      </c>
      <c r="Y9" s="20" t="str">
        <f aca="false">IF(S9="","",IF(O9&lt;S9,"Calc STRICTER (lower)","Calc more lenient (higher)"))</f>
        <v/>
      </c>
      <c r="Z9" s="20" t="str">
        <f aca="false">IF(B9="XL","Hemizygous male AF (grpmax)","grpmax FAF95; check SAS, IndiGen, GenomeIndia")</f>
        <v>grpmax FAF95; check SAS, IndiGen, GenomeIndia</v>
      </c>
      <c r="AA9" s="20"/>
      <c r="AB9" s="20"/>
    </row>
    <row r="10" customFormat="false" ht="15" hidden="false" customHeight="false" outlineLevel="0" collapsed="false">
      <c r="A10" s="19" t="s">
        <v>108</v>
      </c>
      <c r="B10" s="20" t="s">
        <v>96</v>
      </c>
      <c r="C10" s="20" t="s">
        <v>105</v>
      </c>
      <c r="D10" s="21" t="n">
        <f aca="false">SUMIF(Indian_Gene_Shares!$B$5:$B$47,A10,Indian_Gene_Shares!$G$5:$G$47)</f>
        <v>0</v>
      </c>
      <c r="E10" s="9" t="n">
        <f aca="false">IFERROR(INDEX(ARIDE_Cohort!$C$6:$C$207,MATCH(A10,ARIDE_Cohort!$A$6:$A$207,0)),0)</f>
        <v>0</v>
      </c>
      <c r="F10" s="22" t="n">
        <f aca="false">MAX(Inputs!$B$24,IF(AND(Inputs!$B$29="ARIDE cohort",ARIDE_Cohort!$B$3&gt;=Inputs!$B$30),E10,D10))</f>
        <v>0.01</v>
      </c>
      <c r="G10" s="20" t="str">
        <f aca="false">IF(AND(Inputs!$B$29="ARIDE cohort",ARIDE_Cohort!$B$3&gt;=Inputs!$B$30),IF(E10&gt;Inputs!$B$24,"ARIDE cohort","Floor (ARIDE share below floor)"),IF(D10&gt;Inputs!$B$24,"Indian literature",IF(D10&gt;0,"Floor (Indian share below floor)","Floor (no Indian data)")))</f>
        <v>Floor (no Indian data)</v>
      </c>
      <c r="H10" s="23" t="n">
        <f aca="false">IF(B10="AR",Inputs!$B$14,IF(B10="AD",Inputs!$B$15,Inputs!$B$16))</f>
        <v>1</v>
      </c>
      <c r="I10" s="12"/>
      <c r="J10" s="24" t="n">
        <f aca="false">IF(I10="",H10,I10)</f>
        <v>1</v>
      </c>
      <c r="K10" s="12"/>
      <c r="L10" s="24" t="n">
        <f aca="false">IF(K10="",Inputs!$B$20,K10)</f>
        <v>0.5</v>
      </c>
      <c r="M10" s="25" t="n">
        <f aca="false">IF(B10="AR",SQRT(Inputs!$B$9*F10/J10),IF(B10="AD",Inputs!$B$9*F10/(2*J10),2*Inputs!$B$9*F10/J10))</f>
        <v>0.00470090743184764</v>
      </c>
      <c r="N10" s="25" t="n">
        <f aca="false">IF(B10="AR",IF(Inputs!$B$25=0,SQRT(Inputs!$B$8*F10/J10),(-Inputs!$B$25+SQRT(Inputs!$B$25^2+4*(1-Inputs!$B$25)*Inputs!$B$8*F10/J10))/(2*(1-Inputs!$B$25))),IF(B10="AD",Inputs!$B$8*F10/(2*J10),2*Inputs!$B$8*F10/J10))</f>
        <v>0.00416319359719033</v>
      </c>
      <c r="O10" s="25" t="n">
        <f aca="false">MIN(Inputs!$B$26,M10*L10)</f>
        <v>0.00235045371592382</v>
      </c>
      <c r="P10" s="25" t="n">
        <f aca="false">MIN(Inputs!$B$26,O10*Inputs!$B$19)</f>
        <v>0.0235045371592382</v>
      </c>
      <c r="Q10" s="25" t="n">
        <f aca="false">MIN(O10,N10*Inputs!$B$21)</f>
        <v>0.000208159679859516</v>
      </c>
      <c r="R10" s="26"/>
      <c r="S10" s="26"/>
      <c r="T10" s="26"/>
      <c r="U10" s="20" t="str">
        <f aca="false">IF(COUNT(R10:T10)&gt;0,"Published spec (+calc where blank)","Calculated (this workbook)")</f>
        <v>Calculated (this workbook)</v>
      </c>
      <c r="V10" s="28" t="n">
        <f aca="false">IF(R10="",MAX(P10,W10),R10)</f>
        <v>0.0235045371592382</v>
      </c>
      <c r="W10" s="28" t="n">
        <f aca="false">IF(S10="",O10,S10)</f>
        <v>0.00235045371592382</v>
      </c>
      <c r="X10" s="28" t="n">
        <f aca="false">IF(T10="",Q10,T10)</f>
        <v>0.000208159679859516</v>
      </c>
      <c r="Y10" s="20" t="str">
        <f aca="false">IF(S10="","",IF(O10&lt;S10,"Calc STRICTER (lower)","Calc more lenient (higher)"))</f>
        <v/>
      </c>
      <c r="Z10" s="20" t="str">
        <f aca="false">IF(B10="XL","Hemizygous male AF (grpmax)","grpmax FAF95; check SAS, IndiGen, GenomeIndia")</f>
        <v>grpmax FAF95; check SAS, IndiGen, GenomeIndia</v>
      </c>
      <c r="AA10" s="20"/>
      <c r="AB10" s="20"/>
    </row>
    <row r="11" customFormat="false" ht="15" hidden="false" customHeight="false" outlineLevel="0" collapsed="false">
      <c r="A11" s="19" t="s">
        <v>108</v>
      </c>
      <c r="B11" s="20" t="s">
        <v>109</v>
      </c>
      <c r="C11" s="20" t="s">
        <v>105</v>
      </c>
      <c r="D11" s="21" t="n">
        <f aca="false">SUMIF(Indian_Gene_Shares!$B$5:$B$47,A11,Indian_Gene_Shares!$G$5:$G$47)</f>
        <v>0</v>
      </c>
      <c r="E11" s="9" t="n">
        <f aca="false">IFERROR(INDEX(ARIDE_Cohort!$C$6:$C$207,MATCH(A11,ARIDE_Cohort!$A$6:$A$207,0)),0)</f>
        <v>0</v>
      </c>
      <c r="F11" s="22" t="n">
        <f aca="false">MAX(Inputs!$B$24,IF(AND(Inputs!$B$29="ARIDE cohort",ARIDE_Cohort!$B$3&gt;=Inputs!$B$30),E11,D11))</f>
        <v>0.01</v>
      </c>
      <c r="G11" s="20" t="str">
        <f aca="false">IF(AND(Inputs!$B$29="ARIDE cohort",ARIDE_Cohort!$B$3&gt;=Inputs!$B$30),IF(E11&gt;Inputs!$B$24,"ARIDE cohort","Floor (ARIDE share below floor)"),IF(D11&gt;Inputs!$B$24,"Indian literature",IF(D11&gt;0,"Floor (Indian share below floor)","Floor (no Indian data)")))</f>
        <v>Floor (no Indian data)</v>
      </c>
      <c r="H11" s="23" t="n">
        <f aca="false">IF(B11="AR",Inputs!$B$14,IF(B11="AD",Inputs!$B$15,Inputs!$B$16))</f>
        <v>0.5</v>
      </c>
      <c r="I11" s="12"/>
      <c r="J11" s="24" t="n">
        <f aca="false">IF(I11="",H11,I11)</f>
        <v>0.5</v>
      </c>
      <c r="K11" s="12"/>
      <c r="L11" s="24" t="n">
        <f aca="false">IF(K11="",Inputs!$B$20,K11)</f>
        <v>0.5</v>
      </c>
      <c r="M11" s="25" t="n">
        <f aca="false">IF(B11="AR",SQRT(Inputs!$B$9*F11/J11),IF(B11="AD",Inputs!$B$9*F11/(2*J11),2*Inputs!$B$9*F11/J11))</f>
        <v>2.20985306828003E-005</v>
      </c>
      <c r="N11" s="25" t="n">
        <f aca="false">IF(B11="AR",IF(Inputs!$B$25=0,SQRT(Inputs!$B$8*F11/J11),(-Inputs!$B$25+SQRT(Inputs!$B$25^2+4*(1-Inputs!$B$25)*Inputs!$B$8*F11/J11))/(2*(1-Inputs!$B$25))),IF(B11="AD",Inputs!$B$8*F11/(2*J11),2*Inputs!$B$8*F11/J11))</f>
        <v>1.73321809276865E-005</v>
      </c>
      <c r="O11" s="25" t="n">
        <f aca="false">MIN(Inputs!$B$26,M11*L11)</f>
        <v>1.10492653414002E-005</v>
      </c>
      <c r="P11" s="25" t="n">
        <f aca="false">MIN(Inputs!$B$26,O11*Inputs!$B$19)</f>
        <v>0.000110492653414002</v>
      </c>
      <c r="Q11" s="25" t="n">
        <f aca="false">MIN(O11,N11*Inputs!$B$21)</f>
        <v>8.66609046384327E-007</v>
      </c>
      <c r="R11" s="26"/>
      <c r="S11" s="26"/>
      <c r="T11" s="26"/>
      <c r="U11" s="20" t="str">
        <f aca="false">IF(COUNT(R11:T11)&gt;0,"Published spec (+calc where blank)","Calculated (this workbook)")</f>
        <v>Calculated (this workbook)</v>
      </c>
      <c r="V11" s="28" t="n">
        <f aca="false">IF(R11="",MAX(P11,W11),R11)</f>
        <v>0.000110492653414002</v>
      </c>
      <c r="W11" s="28" t="n">
        <f aca="false">IF(S11="",O11,S11)</f>
        <v>1.10492653414002E-005</v>
      </c>
      <c r="X11" s="28" t="n">
        <f aca="false">IF(T11="",Q11,T11)</f>
        <v>8.66609046384327E-007</v>
      </c>
      <c r="Y11" s="20" t="str">
        <f aca="false">IF(S11="","",IF(O11&lt;S11,"Calc STRICTER (lower)","Calc more lenient (higher)"))</f>
        <v/>
      </c>
      <c r="Z11" s="20" t="str">
        <f aca="false">IF(B11="XL","Hemizygous male AF (grpmax)","grpmax FAF95; check SAS, IndiGen, GenomeIndia")</f>
        <v>grpmax FAF95; check SAS, IndiGen, GenomeIndia</v>
      </c>
      <c r="AA11" s="20"/>
      <c r="AB11" s="20"/>
    </row>
    <row r="12" customFormat="false" ht="15" hidden="false" customHeight="false" outlineLevel="0" collapsed="false">
      <c r="A12" s="19" t="s">
        <v>110</v>
      </c>
      <c r="B12" s="20" t="s">
        <v>96</v>
      </c>
      <c r="C12" s="20" t="s">
        <v>105</v>
      </c>
      <c r="D12" s="21" t="n">
        <f aca="false">SUMIF(Indian_Gene_Shares!$B$5:$B$47,A12,Indian_Gene_Shares!$G$5:$G$47)</f>
        <v>0</v>
      </c>
      <c r="E12" s="9" t="n">
        <f aca="false">IFERROR(INDEX(ARIDE_Cohort!$C$6:$C$207,MATCH(A12,ARIDE_Cohort!$A$6:$A$207,0)),0)</f>
        <v>0</v>
      </c>
      <c r="F12" s="22" t="n">
        <f aca="false">MAX(Inputs!$B$24,IF(AND(Inputs!$B$29="ARIDE cohort",ARIDE_Cohort!$B$3&gt;=Inputs!$B$30),E12,D12))</f>
        <v>0.01</v>
      </c>
      <c r="G12" s="20" t="str">
        <f aca="false">IF(AND(Inputs!$B$29="ARIDE cohort",ARIDE_Cohort!$B$3&gt;=Inputs!$B$30),IF(E12&gt;Inputs!$B$24,"ARIDE cohort","Floor (ARIDE share below floor)"),IF(D12&gt;Inputs!$B$24,"Indian literature",IF(D12&gt;0,"Floor (Indian share below floor)","Floor (no Indian data)")))</f>
        <v>Floor (no Indian data)</v>
      </c>
      <c r="H12" s="23" t="n">
        <f aca="false">IF(B12="AR",Inputs!$B$14,IF(B12="AD",Inputs!$B$15,Inputs!$B$16))</f>
        <v>1</v>
      </c>
      <c r="I12" s="12"/>
      <c r="J12" s="24" t="n">
        <f aca="false">IF(I12="",H12,I12)</f>
        <v>1</v>
      </c>
      <c r="K12" s="12"/>
      <c r="L12" s="24" t="n">
        <f aca="false">IF(K12="",Inputs!$B$20,K12)</f>
        <v>0.5</v>
      </c>
      <c r="M12" s="25" t="n">
        <f aca="false">IF(B12="AR",SQRT(Inputs!$B$9*F12/J12),IF(B12="AD",Inputs!$B$9*F12/(2*J12),2*Inputs!$B$9*F12/J12))</f>
        <v>0.00470090743184764</v>
      </c>
      <c r="N12" s="25" t="n">
        <f aca="false">IF(B12="AR",IF(Inputs!$B$25=0,SQRT(Inputs!$B$8*F12/J12),(-Inputs!$B$25+SQRT(Inputs!$B$25^2+4*(1-Inputs!$B$25)*Inputs!$B$8*F12/J12))/(2*(1-Inputs!$B$25))),IF(B12="AD",Inputs!$B$8*F12/(2*J12),2*Inputs!$B$8*F12/J12))</f>
        <v>0.00416319359719033</v>
      </c>
      <c r="O12" s="25" t="n">
        <f aca="false">MIN(Inputs!$B$26,M12*L12)</f>
        <v>0.00235045371592382</v>
      </c>
      <c r="P12" s="25" t="n">
        <f aca="false">MIN(Inputs!$B$26,O12*Inputs!$B$19)</f>
        <v>0.0235045371592382</v>
      </c>
      <c r="Q12" s="25" t="n">
        <f aca="false">MIN(O12,N12*Inputs!$B$21)</f>
        <v>0.000208159679859516</v>
      </c>
      <c r="R12" s="26"/>
      <c r="S12" s="26"/>
      <c r="T12" s="26"/>
      <c r="U12" s="20" t="str">
        <f aca="false">IF(COUNT(R12:T12)&gt;0,"Published spec (+calc where blank)","Calculated (this workbook)")</f>
        <v>Calculated (this workbook)</v>
      </c>
      <c r="V12" s="28" t="n">
        <f aca="false">IF(R12="",MAX(P12,W12),R12)</f>
        <v>0.0235045371592382</v>
      </c>
      <c r="W12" s="28" t="n">
        <f aca="false">IF(S12="",O12,S12)</f>
        <v>0.00235045371592382</v>
      </c>
      <c r="X12" s="28" t="n">
        <f aca="false">IF(T12="",Q12,T12)</f>
        <v>0.000208159679859516</v>
      </c>
      <c r="Y12" s="20" t="str">
        <f aca="false">IF(S12="","",IF(O12&lt;S12,"Calc STRICTER (lower)","Calc more lenient (higher)"))</f>
        <v/>
      </c>
      <c r="Z12" s="20" t="str">
        <f aca="false">IF(B12="XL","Hemizygous male AF (grpmax)","grpmax FAF95; check SAS, IndiGen, GenomeIndia")</f>
        <v>grpmax FAF95; check SAS, IndiGen, GenomeIndia</v>
      </c>
      <c r="AA12" s="20"/>
      <c r="AB12" s="20"/>
    </row>
    <row r="13" customFormat="false" ht="15" hidden="false" customHeight="false" outlineLevel="0" collapsed="false">
      <c r="A13" s="19" t="s">
        <v>111</v>
      </c>
      <c r="B13" s="20" t="s">
        <v>96</v>
      </c>
      <c r="C13" s="20" t="s">
        <v>112</v>
      </c>
      <c r="D13" s="21" t="n">
        <f aca="false">SUMIF(Indian_Gene_Shares!$B$5:$B$47,A13,Indian_Gene_Shares!$G$5:$G$47)</f>
        <v>0.000443702507598784</v>
      </c>
      <c r="E13" s="9" t="n">
        <f aca="false">IFERROR(INDEX(ARIDE_Cohort!$C$6:$C$207,MATCH(A13,ARIDE_Cohort!$A$6:$A$207,0)),0)</f>
        <v>0</v>
      </c>
      <c r="F13" s="22" t="n">
        <f aca="false">MAX(Inputs!$B$24,IF(AND(Inputs!$B$29="ARIDE cohort",ARIDE_Cohort!$B$3&gt;=Inputs!$B$30),E13,D13))</f>
        <v>0.01</v>
      </c>
      <c r="G13" s="20" t="str">
        <f aca="false">IF(AND(Inputs!$B$29="ARIDE cohort",ARIDE_Cohort!$B$3&gt;=Inputs!$B$30),IF(E13&gt;Inputs!$B$24,"ARIDE cohort","Floor (ARIDE share below floor)"),IF(D13&gt;Inputs!$B$24,"Indian literature",IF(D13&gt;0,"Floor (Indian share below floor)","Floor (no Indian data)")))</f>
        <v>Floor (Indian share below floor)</v>
      </c>
      <c r="H13" s="23" t="n">
        <f aca="false">IF(B13="AR",Inputs!$B$14,IF(B13="AD",Inputs!$B$15,Inputs!$B$16))</f>
        <v>1</v>
      </c>
      <c r="I13" s="12"/>
      <c r="J13" s="24" t="n">
        <f aca="false">IF(I13="",H13,I13)</f>
        <v>1</v>
      </c>
      <c r="K13" s="12"/>
      <c r="L13" s="24" t="n">
        <f aca="false">IF(K13="",Inputs!$B$20,K13)</f>
        <v>0.5</v>
      </c>
      <c r="M13" s="25" t="n">
        <f aca="false">IF(B13="AR",SQRT(Inputs!$B$9*F13/J13),IF(B13="AD",Inputs!$B$9*F13/(2*J13),2*Inputs!$B$9*F13/J13))</f>
        <v>0.00470090743184764</v>
      </c>
      <c r="N13" s="25" t="n">
        <f aca="false">IF(B13="AR",IF(Inputs!$B$25=0,SQRT(Inputs!$B$8*F13/J13),(-Inputs!$B$25+SQRT(Inputs!$B$25^2+4*(1-Inputs!$B$25)*Inputs!$B$8*F13/J13))/(2*(1-Inputs!$B$25))),IF(B13="AD",Inputs!$B$8*F13/(2*J13),2*Inputs!$B$8*F13/J13))</f>
        <v>0.00416319359719033</v>
      </c>
      <c r="O13" s="25" t="n">
        <f aca="false">MIN(Inputs!$B$26,M13*L13)</f>
        <v>0.00235045371592382</v>
      </c>
      <c r="P13" s="25" t="n">
        <f aca="false">MIN(Inputs!$B$26,O13*Inputs!$B$19)</f>
        <v>0.0235045371592382</v>
      </c>
      <c r="Q13" s="25" t="n">
        <f aca="false">MIN(O13,N13*Inputs!$B$21)</f>
        <v>0.000208159679859516</v>
      </c>
      <c r="R13" s="26"/>
      <c r="S13" s="26"/>
      <c r="T13" s="26"/>
      <c r="U13" s="20" t="str">
        <f aca="false">IF(COUNT(R13:T13)&gt;0,"Published spec (+calc where blank)","Calculated (this workbook)")</f>
        <v>Calculated (this workbook)</v>
      </c>
      <c r="V13" s="28" t="n">
        <f aca="false">IF(R13="",MAX(P13,W13),R13)</f>
        <v>0.0235045371592382</v>
      </c>
      <c r="W13" s="28" t="n">
        <f aca="false">IF(S13="",O13,S13)</f>
        <v>0.00235045371592382</v>
      </c>
      <c r="X13" s="28" t="n">
        <f aca="false">IF(T13="",Q13,T13)</f>
        <v>0.000208159679859516</v>
      </c>
      <c r="Y13" s="20" t="str">
        <f aca="false">IF(S13="","",IF(O13&lt;S13,"Calc STRICTER (lower)","Calc more lenient (higher)"))</f>
        <v/>
      </c>
      <c r="Z13" s="20" t="str">
        <f aca="false">IF(B13="XL","Hemizygous male AF (grpmax)","grpmax FAF95; check SAS, IndiGen, GenomeIndia")</f>
        <v>grpmax FAF95; check SAS, IndiGen, GenomeIndia</v>
      </c>
      <c r="AA13" s="20"/>
      <c r="AB13" s="20"/>
    </row>
    <row r="14" customFormat="false" ht="15" hidden="false" customHeight="false" outlineLevel="0" collapsed="false">
      <c r="A14" s="19" t="s">
        <v>113</v>
      </c>
      <c r="B14" s="20" t="s">
        <v>96</v>
      </c>
      <c r="C14" s="20" t="s">
        <v>105</v>
      </c>
      <c r="D14" s="21" t="n">
        <f aca="false">SUMIF(Indian_Gene_Shares!$B$5:$B$47,A14,Indian_Gene_Shares!$G$5:$G$47)</f>
        <v>0</v>
      </c>
      <c r="E14" s="9" t="n">
        <f aca="false">IFERROR(INDEX(ARIDE_Cohort!$C$6:$C$207,MATCH(A14,ARIDE_Cohort!$A$6:$A$207,0)),0)</f>
        <v>0</v>
      </c>
      <c r="F14" s="22" t="n">
        <f aca="false">MAX(Inputs!$B$24,IF(AND(Inputs!$B$29="ARIDE cohort",ARIDE_Cohort!$B$3&gt;=Inputs!$B$30),E14,D14))</f>
        <v>0.01</v>
      </c>
      <c r="G14" s="20" t="str">
        <f aca="false">IF(AND(Inputs!$B$29="ARIDE cohort",ARIDE_Cohort!$B$3&gt;=Inputs!$B$30),IF(E14&gt;Inputs!$B$24,"ARIDE cohort","Floor (ARIDE share below floor)"),IF(D14&gt;Inputs!$B$24,"Indian literature",IF(D14&gt;0,"Floor (Indian share below floor)","Floor (no Indian data)")))</f>
        <v>Floor (no Indian data)</v>
      </c>
      <c r="H14" s="23" t="n">
        <f aca="false">IF(B14="AR",Inputs!$B$14,IF(B14="AD",Inputs!$B$15,Inputs!$B$16))</f>
        <v>1</v>
      </c>
      <c r="I14" s="12"/>
      <c r="J14" s="24" t="n">
        <f aca="false">IF(I14="",H14,I14)</f>
        <v>1</v>
      </c>
      <c r="K14" s="12"/>
      <c r="L14" s="24" t="n">
        <f aca="false">IF(K14="",Inputs!$B$20,K14)</f>
        <v>0.5</v>
      </c>
      <c r="M14" s="25" t="n">
        <f aca="false">IF(B14="AR",SQRT(Inputs!$B$9*F14/J14),IF(B14="AD",Inputs!$B$9*F14/(2*J14),2*Inputs!$B$9*F14/J14))</f>
        <v>0.00470090743184764</v>
      </c>
      <c r="N14" s="25" t="n">
        <f aca="false">IF(B14="AR",IF(Inputs!$B$25=0,SQRT(Inputs!$B$8*F14/J14),(-Inputs!$B$25+SQRT(Inputs!$B$25^2+4*(1-Inputs!$B$25)*Inputs!$B$8*F14/J14))/(2*(1-Inputs!$B$25))),IF(B14="AD",Inputs!$B$8*F14/(2*J14),2*Inputs!$B$8*F14/J14))</f>
        <v>0.00416319359719033</v>
      </c>
      <c r="O14" s="25" t="n">
        <f aca="false">MIN(Inputs!$B$26,M14*L14)</f>
        <v>0.00235045371592382</v>
      </c>
      <c r="P14" s="25" t="n">
        <f aca="false">MIN(Inputs!$B$26,O14*Inputs!$B$19)</f>
        <v>0.0235045371592382</v>
      </c>
      <c r="Q14" s="25" t="n">
        <f aca="false">MIN(O14,N14*Inputs!$B$21)</f>
        <v>0.000208159679859516</v>
      </c>
      <c r="R14" s="26"/>
      <c r="S14" s="26"/>
      <c r="T14" s="26"/>
      <c r="U14" s="20" t="str">
        <f aca="false">IF(COUNT(R14:T14)&gt;0,"Published spec (+calc where blank)","Calculated (this workbook)")</f>
        <v>Calculated (this workbook)</v>
      </c>
      <c r="V14" s="28" t="n">
        <f aca="false">IF(R14="",MAX(P14,W14),R14)</f>
        <v>0.0235045371592382</v>
      </c>
      <c r="W14" s="28" t="n">
        <f aca="false">IF(S14="",O14,S14)</f>
        <v>0.00235045371592382</v>
      </c>
      <c r="X14" s="28" t="n">
        <f aca="false">IF(T14="",Q14,T14)</f>
        <v>0.000208159679859516</v>
      </c>
      <c r="Y14" s="20" t="str">
        <f aca="false">IF(S14="","",IF(O14&lt;S14,"Calc STRICTER (lower)","Calc more lenient (higher)"))</f>
        <v/>
      </c>
      <c r="Z14" s="20" t="str">
        <f aca="false">IF(B14="XL","Hemizygous male AF (grpmax)","grpmax FAF95; check SAS, IndiGen, GenomeIndia")</f>
        <v>grpmax FAF95; check SAS, IndiGen, GenomeIndia</v>
      </c>
      <c r="AA14" s="20"/>
      <c r="AB14" s="20"/>
    </row>
    <row r="15" customFormat="false" ht="15" hidden="false" customHeight="false" outlineLevel="0" collapsed="false">
      <c r="A15" s="19" t="s">
        <v>114</v>
      </c>
      <c r="B15" s="20" t="s">
        <v>96</v>
      </c>
      <c r="C15" s="20" t="s">
        <v>115</v>
      </c>
      <c r="D15" s="21" t="n">
        <f aca="false">SUMIF(Indian_Gene_Shares!$B$5:$B$47,A15,Indian_Gene_Shares!$G$5:$G$47)</f>
        <v>0.000835590805471125</v>
      </c>
      <c r="E15" s="9" t="n">
        <f aca="false">IFERROR(INDEX(ARIDE_Cohort!$C$6:$C$207,MATCH(A15,ARIDE_Cohort!$A$6:$A$207,0)),0)</f>
        <v>0</v>
      </c>
      <c r="F15" s="22" t="n">
        <f aca="false">MAX(Inputs!$B$24,IF(AND(Inputs!$B$29="ARIDE cohort",ARIDE_Cohort!$B$3&gt;=Inputs!$B$30),E15,D15))</f>
        <v>0.01</v>
      </c>
      <c r="G15" s="20" t="str">
        <f aca="false">IF(AND(Inputs!$B$29="ARIDE cohort",ARIDE_Cohort!$B$3&gt;=Inputs!$B$30),IF(E15&gt;Inputs!$B$24,"ARIDE cohort","Floor (ARIDE share below floor)"),IF(D15&gt;Inputs!$B$24,"Indian literature",IF(D15&gt;0,"Floor (Indian share below floor)","Floor (no Indian data)")))</f>
        <v>Floor (Indian share below floor)</v>
      </c>
      <c r="H15" s="23" t="n">
        <f aca="false">IF(B15="AR",Inputs!$B$14,IF(B15="AD",Inputs!$B$15,Inputs!$B$16))</f>
        <v>1</v>
      </c>
      <c r="I15" s="12"/>
      <c r="J15" s="24" t="n">
        <f aca="false">IF(I15="",H15,I15)</f>
        <v>1</v>
      </c>
      <c r="K15" s="12"/>
      <c r="L15" s="24" t="n">
        <f aca="false">IF(K15="",Inputs!$B$20,K15)</f>
        <v>0.5</v>
      </c>
      <c r="M15" s="25" t="n">
        <f aca="false">IF(B15="AR",SQRT(Inputs!$B$9*F15/J15),IF(B15="AD",Inputs!$B$9*F15/(2*J15),2*Inputs!$B$9*F15/J15))</f>
        <v>0.00470090743184764</v>
      </c>
      <c r="N15" s="25" t="n">
        <f aca="false">IF(B15="AR",IF(Inputs!$B$25=0,SQRT(Inputs!$B$8*F15/J15),(-Inputs!$B$25+SQRT(Inputs!$B$25^2+4*(1-Inputs!$B$25)*Inputs!$B$8*F15/J15))/(2*(1-Inputs!$B$25))),IF(B15="AD",Inputs!$B$8*F15/(2*J15),2*Inputs!$B$8*F15/J15))</f>
        <v>0.00416319359719033</v>
      </c>
      <c r="O15" s="25" t="n">
        <f aca="false">MIN(Inputs!$B$26,M15*L15)</f>
        <v>0.00235045371592382</v>
      </c>
      <c r="P15" s="25" t="n">
        <f aca="false">MIN(Inputs!$B$26,O15*Inputs!$B$19)</f>
        <v>0.0235045371592382</v>
      </c>
      <c r="Q15" s="25" t="n">
        <f aca="false">MIN(O15,N15*Inputs!$B$21)</f>
        <v>0.000208159679859516</v>
      </c>
      <c r="R15" s="26"/>
      <c r="S15" s="26"/>
      <c r="T15" s="26"/>
      <c r="U15" s="20" t="str">
        <f aca="false">IF(COUNT(R15:T15)&gt;0,"Published spec (+calc where blank)","Calculated (this workbook)")</f>
        <v>Calculated (this workbook)</v>
      </c>
      <c r="V15" s="28" t="n">
        <f aca="false">IF(R15="",MAX(P15,W15),R15)</f>
        <v>0.0235045371592382</v>
      </c>
      <c r="W15" s="28" t="n">
        <f aca="false">IF(S15="",O15,S15)</f>
        <v>0.00235045371592382</v>
      </c>
      <c r="X15" s="28" t="n">
        <f aca="false">IF(T15="",Q15,T15)</f>
        <v>0.000208159679859516</v>
      </c>
      <c r="Y15" s="20" t="str">
        <f aca="false">IF(S15="","",IF(O15&lt;S15,"Calc STRICTER (lower)","Calc more lenient (higher)"))</f>
        <v/>
      </c>
      <c r="Z15" s="20" t="str">
        <f aca="false">IF(B15="XL","Hemizygous male AF (grpmax)","grpmax FAF95; check SAS, IndiGen, GenomeIndia")</f>
        <v>grpmax FAF95; check SAS, IndiGen, GenomeIndia</v>
      </c>
      <c r="AA15" s="20"/>
      <c r="AB15" s="20"/>
    </row>
    <row r="16" customFormat="false" ht="15" hidden="false" customHeight="false" outlineLevel="0" collapsed="false">
      <c r="A16" s="19" t="s">
        <v>114</v>
      </c>
      <c r="B16" s="20" t="s">
        <v>109</v>
      </c>
      <c r="C16" s="20" t="s">
        <v>103</v>
      </c>
      <c r="D16" s="21" t="n">
        <f aca="false">SUMIF(Indian_Gene_Shares!$B$5:$B$47,A16,Indian_Gene_Shares!$G$5:$G$47)</f>
        <v>0.000835590805471125</v>
      </c>
      <c r="E16" s="9" t="n">
        <f aca="false">IFERROR(INDEX(ARIDE_Cohort!$C$6:$C$207,MATCH(A16,ARIDE_Cohort!$A$6:$A$207,0)),0)</f>
        <v>0</v>
      </c>
      <c r="F16" s="22" t="n">
        <f aca="false">MAX(Inputs!$B$24,IF(AND(Inputs!$B$29="ARIDE cohort",ARIDE_Cohort!$B$3&gt;=Inputs!$B$30),E16,D16))</f>
        <v>0.01</v>
      </c>
      <c r="G16" s="20" t="str">
        <f aca="false">IF(AND(Inputs!$B$29="ARIDE cohort",ARIDE_Cohort!$B$3&gt;=Inputs!$B$30),IF(E16&gt;Inputs!$B$24,"ARIDE cohort","Floor (ARIDE share below floor)"),IF(D16&gt;Inputs!$B$24,"Indian literature",IF(D16&gt;0,"Floor (Indian share below floor)","Floor (no Indian data)")))</f>
        <v>Floor (Indian share below floor)</v>
      </c>
      <c r="H16" s="23" t="n">
        <f aca="false">IF(B16="AR",Inputs!$B$14,IF(B16="AD",Inputs!$B$15,Inputs!$B$16))</f>
        <v>0.5</v>
      </c>
      <c r="I16" s="12"/>
      <c r="J16" s="24" t="n">
        <f aca="false">IF(I16="",H16,I16)</f>
        <v>0.5</v>
      </c>
      <c r="K16" s="12"/>
      <c r="L16" s="24" t="n">
        <f aca="false">IF(K16="",Inputs!$B$20,K16)</f>
        <v>0.5</v>
      </c>
      <c r="M16" s="25" t="n">
        <f aca="false">IF(B16="AR",SQRT(Inputs!$B$9*F16/J16),IF(B16="AD",Inputs!$B$9*F16/(2*J16),2*Inputs!$B$9*F16/J16))</f>
        <v>2.20985306828003E-005</v>
      </c>
      <c r="N16" s="25" t="n">
        <f aca="false">IF(B16="AR",IF(Inputs!$B$25=0,SQRT(Inputs!$B$8*F16/J16),(-Inputs!$B$25+SQRT(Inputs!$B$25^2+4*(1-Inputs!$B$25)*Inputs!$B$8*F16/J16))/(2*(1-Inputs!$B$25))),IF(B16="AD",Inputs!$B$8*F16/(2*J16),2*Inputs!$B$8*F16/J16))</f>
        <v>1.73321809276865E-005</v>
      </c>
      <c r="O16" s="25" t="n">
        <f aca="false">MIN(Inputs!$B$26,M16*L16)</f>
        <v>1.10492653414002E-005</v>
      </c>
      <c r="P16" s="25" t="n">
        <f aca="false">MIN(Inputs!$B$26,O16*Inputs!$B$19)</f>
        <v>0.000110492653414002</v>
      </c>
      <c r="Q16" s="25" t="n">
        <f aca="false">MIN(O16,N16*Inputs!$B$21)</f>
        <v>8.66609046384327E-007</v>
      </c>
      <c r="R16" s="26"/>
      <c r="S16" s="26"/>
      <c r="T16" s="26"/>
      <c r="U16" s="20" t="str">
        <f aca="false">IF(COUNT(R16:T16)&gt;0,"Published spec (+calc where blank)","Calculated (this workbook)")</f>
        <v>Calculated (this workbook)</v>
      </c>
      <c r="V16" s="28" t="n">
        <f aca="false">IF(R16="",MAX(P16,W16),R16)</f>
        <v>0.000110492653414002</v>
      </c>
      <c r="W16" s="28" t="n">
        <f aca="false">IF(S16="",O16,S16)</f>
        <v>1.10492653414002E-005</v>
      </c>
      <c r="X16" s="28" t="n">
        <f aca="false">IF(T16="",Q16,T16)</f>
        <v>8.66609046384327E-007</v>
      </c>
      <c r="Y16" s="20" t="str">
        <f aca="false">IF(S16="","",IF(O16&lt;S16,"Calc STRICTER (lower)","Calc more lenient (higher)"))</f>
        <v/>
      </c>
      <c r="Z16" s="20" t="str">
        <f aca="false">IF(B16="XL","Hemizygous male AF (grpmax)","grpmax FAF95; check SAS, IndiGen, GenomeIndia")</f>
        <v>grpmax FAF95; check SAS, IndiGen, GenomeIndia</v>
      </c>
      <c r="AA16" s="20"/>
      <c r="AB16" s="20"/>
    </row>
    <row r="17" customFormat="false" ht="15" hidden="false" customHeight="false" outlineLevel="0" collapsed="false">
      <c r="A17" s="19" t="s">
        <v>116</v>
      </c>
      <c r="B17" s="20" t="s">
        <v>96</v>
      </c>
      <c r="C17" s="20" t="s">
        <v>117</v>
      </c>
      <c r="D17" s="21" t="n">
        <f aca="false">SUMIF(Indian_Gene_Shares!$B$5:$B$47,A17,Indian_Gene_Shares!$G$5:$G$47)</f>
        <v>0.000427431610942249</v>
      </c>
      <c r="E17" s="9" t="n">
        <f aca="false">IFERROR(INDEX(ARIDE_Cohort!$C$6:$C$207,MATCH(A17,ARIDE_Cohort!$A$6:$A$207,0)),0)</f>
        <v>0</v>
      </c>
      <c r="F17" s="22" t="n">
        <f aca="false">MAX(Inputs!$B$24,IF(AND(Inputs!$B$29="ARIDE cohort",ARIDE_Cohort!$B$3&gt;=Inputs!$B$30),E17,D17))</f>
        <v>0.01</v>
      </c>
      <c r="G17" s="20" t="str">
        <f aca="false">IF(AND(Inputs!$B$29="ARIDE cohort",ARIDE_Cohort!$B$3&gt;=Inputs!$B$30),IF(E17&gt;Inputs!$B$24,"ARIDE cohort","Floor (ARIDE share below floor)"),IF(D17&gt;Inputs!$B$24,"Indian literature",IF(D17&gt;0,"Floor (Indian share below floor)","Floor (no Indian data)")))</f>
        <v>Floor (Indian share below floor)</v>
      </c>
      <c r="H17" s="23" t="n">
        <f aca="false">IF(B17="AR",Inputs!$B$14,IF(B17="AD",Inputs!$B$15,Inputs!$B$16))</f>
        <v>1</v>
      </c>
      <c r="I17" s="12"/>
      <c r="J17" s="24" t="n">
        <f aca="false">IF(I17="",H17,I17)</f>
        <v>1</v>
      </c>
      <c r="K17" s="12"/>
      <c r="L17" s="24" t="n">
        <f aca="false">IF(K17="",Inputs!$B$20,K17)</f>
        <v>0.5</v>
      </c>
      <c r="M17" s="25" t="n">
        <f aca="false">IF(B17="AR",SQRT(Inputs!$B$9*F17/J17),IF(B17="AD",Inputs!$B$9*F17/(2*J17),2*Inputs!$B$9*F17/J17))</f>
        <v>0.00470090743184764</v>
      </c>
      <c r="N17" s="25" t="n">
        <f aca="false">IF(B17="AR",IF(Inputs!$B$25=0,SQRT(Inputs!$B$8*F17/J17),(-Inputs!$B$25+SQRT(Inputs!$B$25^2+4*(1-Inputs!$B$25)*Inputs!$B$8*F17/J17))/(2*(1-Inputs!$B$25))),IF(B17="AD",Inputs!$B$8*F17/(2*J17),2*Inputs!$B$8*F17/J17))</f>
        <v>0.00416319359719033</v>
      </c>
      <c r="O17" s="25" t="n">
        <f aca="false">MIN(Inputs!$B$26,M17*L17)</f>
        <v>0.00235045371592382</v>
      </c>
      <c r="P17" s="25" t="n">
        <f aca="false">MIN(Inputs!$B$26,O17*Inputs!$B$19)</f>
        <v>0.0235045371592382</v>
      </c>
      <c r="Q17" s="25" t="n">
        <f aca="false">MIN(O17,N17*Inputs!$B$21)</f>
        <v>0.000208159679859516</v>
      </c>
      <c r="R17" s="26"/>
      <c r="S17" s="26"/>
      <c r="T17" s="26"/>
      <c r="U17" s="20" t="str">
        <f aca="false">IF(COUNT(R17:T17)&gt;0,"Published spec (+calc where blank)","Calculated (this workbook)")</f>
        <v>Calculated (this workbook)</v>
      </c>
      <c r="V17" s="28" t="n">
        <f aca="false">IF(R17="",MAX(P17,W17),R17)</f>
        <v>0.0235045371592382</v>
      </c>
      <c r="W17" s="28" t="n">
        <f aca="false">IF(S17="",O17,S17)</f>
        <v>0.00235045371592382</v>
      </c>
      <c r="X17" s="28" t="n">
        <f aca="false">IF(T17="",Q17,T17)</f>
        <v>0.000208159679859516</v>
      </c>
      <c r="Y17" s="20" t="str">
        <f aca="false">IF(S17="","",IF(O17&lt;S17,"Calc STRICTER (lower)","Calc more lenient (higher)"))</f>
        <v/>
      </c>
      <c r="Z17" s="20" t="str">
        <f aca="false">IF(B17="XL","Hemizygous male AF (grpmax)","grpmax FAF95; check SAS, IndiGen, GenomeIndia")</f>
        <v>grpmax FAF95; check SAS, IndiGen, GenomeIndia</v>
      </c>
      <c r="AA17" s="20"/>
      <c r="AB17" s="20"/>
    </row>
    <row r="18" customFormat="false" ht="15" hidden="false" customHeight="false" outlineLevel="0" collapsed="false">
      <c r="A18" s="19" t="s">
        <v>118</v>
      </c>
      <c r="B18" s="20" t="s">
        <v>96</v>
      </c>
      <c r="C18" s="20" t="s">
        <v>105</v>
      </c>
      <c r="D18" s="21" t="n">
        <f aca="false">SUMIF(Indian_Gene_Shares!$B$5:$B$47,A18,Indian_Gene_Shares!$G$5:$G$47)</f>
        <v>0</v>
      </c>
      <c r="E18" s="9" t="n">
        <f aca="false">IFERROR(INDEX(ARIDE_Cohort!$C$6:$C$207,MATCH(A18,ARIDE_Cohort!$A$6:$A$207,0)),0)</f>
        <v>0</v>
      </c>
      <c r="F18" s="22" t="n">
        <f aca="false">MAX(Inputs!$B$24,IF(AND(Inputs!$B$29="ARIDE cohort",ARIDE_Cohort!$B$3&gt;=Inputs!$B$30),E18,D18))</f>
        <v>0.01</v>
      </c>
      <c r="G18" s="20" t="str">
        <f aca="false">IF(AND(Inputs!$B$29="ARIDE cohort",ARIDE_Cohort!$B$3&gt;=Inputs!$B$30),IF(E18&gt;Inputs!$B$24,"ARIDE cohort","Floor (ARIDE share below floor)"),IF(D18&gt;Inputs!$B$24,"Indian literature",IF(D18&gt;0,"Floor (Indian share below floor)","Floor (no Indian data)")))</f>
        <v>Floor (no Indian data)</v>
      </c>
      <c r="H18" s="23" t="n">
        <f aca="false">IF(B18="AR",Inputs!$B$14,IF(B18="AD",Inputs!$B$15,Inputs!$B$16))</f>
        <v>1</v>
      </c>
      <c r="I18" s="12"/>
      <c r="J18" s="24" t="n">
        <f aca="false">IF(I18="",H18,I18)</f>
        <v>1</v>
      </c>
      <c r="K18" s="12"/>
      <c r="L18" s="24" t="n">
        <f aca="false">IF(K18="",Inputs!$B$20,K18)</f>
        <v>0.5</v>
      </c>
      <c r="M18" s="25" t="n">
        <f aca="false">IF(B18="AR",SQRT(Inputs!$B$9*F18/J18),IF(B18="AD",Inputs!$B$9*F18/(2*J18),2*Inputs!$B$9*F18/J18))</f>
        <v>0.00470090743184764</v>
      </c>
      <c r="N18" s="25" t="n">
        <f aca="false">IF(B18="AR",IF(Inputs!$B$25=0,SQRT(Inputs!$B$8*F18/J18),(-Inputs!$B$25+SQRT(Inputs!$B$25^2+4*(1-Inputs!$B$25)*Inputs!$B$8*F18/J18))/(2*(1-Inputs!$B$25))),IF(B18="AD",Inputs!$B$8*F18/(2*J18),2*Inputs!$B$8*F18/J18))</f>
        <v>0.00416319359719033</v>
      </c>
      <c r="O18" s="25" t="n">
        <f aca="false">MIN(Inputs!$B$26,M18*L18)</f>
        <v>0.00235045371592382</v>
      </c>
      <c r="P18" s="25" t="n">
        <f aca="false">MIN(Inputs!$B$26,O18*Inputs!$B$19)</f>
        <v>0.0235045371592382</v>
      </c>
      <c r="Q18" s="25" t="n">
        <f aca="false">MIN(O18,N18*Inputs!$B$21)</f>
        <v>0.000208159679859516</v>
      </c>
      <c r="R18" s="26"/>
      <c r="S18" s="26"/>
      <c r="T18" s="26"/>
      <c r="U18" s="20" t="str">
        <f aca="false">IF(COUNT(R18:T18)&gt;0,"Published spec (+calc where blank)","Calculated (this workbook)")</f>
        <v>Calculated (this workbook)</v>
      </c>
      <c r="V18" s="28" t="n">
        <f aca="false">IF(R18="",MAX(P18,W18),R18)</f>
        <v>0.0235045371592382</v>
      </c>
      <c r="W18" s="28" t="n">
        <f aca="false">IF(S18="",O18,S18)</f>
        <v>0.00235045371592382</v>
      </c>
      <c r="X18" s="28" t="n">
        <f aca="false">IF(T18="",Q18,T18)</f>
        <v>0.000208159679859516</v>
      </c>
      <c r="Y18" s="20" t="str">
        <f aca="false">IF(S18="","",IF(O18&lt;S18,"Calc STRICTER (lower)","Calc more lenient (higher)"))</f>
        <v/>
      </c>
      <c r="Z18" s="20" t="str">
        <f aca="false">IF(B18="XL","Hemizygous male AF (grpmax)","grpmax FAF95; check SAS, IndiGen, GenomeIndia")</f>
        <v>grpmax FAF95; check SAS, IndiGen, GenomeIndia</v>
      </c>
      <c r="AA18" s="20"/>
      <c r="AB18" s="20"/>
    </row>
    <row r="19" customFormat="false" ht="15" hidden="false" customHeight="false" outlineLevel="0" collapsed="false">
      <c r="A19" s="19" t="s">
        <v>119</v>
      </c>
      <c r="B19" s="20" t="s">
        <v>96</v>
      </c>
      <c r="C19" s="20" t="s">
        <v>112</v>
      </c>
      <c r="D19" s="21" t="n">
        <f aca="false">SUMIF(Indian_Gene_Shares!$B$5:$B$47,A19,Indian_Gene_Shares!$G$5:$G$47)</f>
        <v>0</v>
      </c>
      <c r="E19" s="9" t="n">
        <f aca="false">IFERROR(INDEX(ARIDE_Cohort!$C$6:$C$207,MATCH(A19,ARIDE_Cohort!$A$6:$A$207,0)),0)</f>
        <v>0</v>
      </c>
      <c r="F19" s="22" t="n">
        <f aca="false">MAX(Inputs!$B$24,IF(AND(Inputs!$B$29="ARIDE cohort",ARIDE_Cohort!$B$3&gt;=Inputs!$B$30),E19,D19))</f>
        <v>0.01</v>
      </c>
      <c r="G19" s="20" t="str">
        <f aca="false">IF(AND(Inputs!$B$29="ARIDE cohort",ARIDE_Cohort!$B$3&gt;=Inputs!$B$30),IF(E19&gt;Inputs!$B$24,"ARIDE cohort","Floor (ARIDE share below floor)"),IF(D19&gt;Inputs!$B$24,"Indian literature",IF(D19&gt;0,"Floor (Indian share below floor)","Floor (no Indian data)")))</f>
        <v>Floor (no Indian data)</v>
      </c>
      <c r="H19" s="23" t="n">
        <f aca="false">IF(B19="AR",Inputs!$B$14,IF(B19="AD",Inputs!$B$15,Inputs!$B$16))</f>
        <v>1</v>
      </c>
      <c r="I19" s="12"/>
      <c r="J19" s="24" t="n">
        <f aca="false">IF(I19="",H19,I19)</f>
        <v>1</v>
      </c>
      <c r="K19" s="12"/>
      <c r="L19" s="24" t="n">
        <f aca="false">IF(K19="",Inputs!$B$20,K19)</f>
        <v>0.5</v>
      </c>
      <c r="M19" s="25" t="n">
        <f aca="false">IF(B19="AR",SQRT(Inputs!$B$9*F19/J19),IF(B19="AD",Inputs!$B$9*F19/(2*J19),2*Inputs!$B$9*F19/J19))</f>
        <v>0.00470090743184764</v>
      </c>
      <c r="N19" s="25" t="n">
        <f aca="false">IF(B19="AR",IF(Inputs!$B$25=0,SQRT(Inputs!$B$8*F19/J19),(-Inputs!$B$25+SQRT(Inputs!$B$25^2+4*(1-Inputs!$B$25)*Inputs!$B$8*F19/J19))/(2*(1-Inputs!$B$25))),IF(B19="AD",Inputs!$B$8*F19/(2*J19),2*Inputs!$B$8*F19/J19))</f>
        <v>0.00416319359719033</v>
      </c>
      <c r="O19" s="25" t="n">
        <f aca="false">MIN(Inputs!$B$26,M19*L19)</f>
        <v>0.00235045371592382</v>
      </c>
      <c r="P19" s="25" t="n">
        <f aca="false">MIN(Inputs!$B$26,O19*Inputs!$B$19)</f>
        <v>0.0235045371592382</v>
      </c>
      <c r="Q19" s="25" t="n">
        <f aca="false">MIN(O19,N19*Inputs!$B$21)</f>
        <v>0.000208159679859516</v>
      </c>
      <c r="R19" s="26"/>
      <c r="S19" s="26"/>
      <c r="T19" s="26"/>
      <c r="U19" s="20" t="str">
        <f aca="false">IF(COUNT(R19:T19)&gt;0,"Published spec (+calc where blank)","Calculated (this workbook)")</f>
        <v>Calculated (this workbook)</v>
      </c>
      <c r="V19" s="28" t="n">
        <f aca="false">IF(R19="",MAX(P19,W19),R19)</f>
        <v>0.0235045371592382</v>
      </c>
      <c r="W19" s="28" t="n">
        <f aca="false">IF(S19="",O19,S19)</f>
        <v>0.00235045371592382</v>
      </c>
      <c r="X19" s="28" t="n">
        <f aca="false">IF(T19="",Q19,T19)</f>
        <v>0.000208159679859516</v>
      </c>
      <c r="Y19" s="20" t="str">
        <f aca="false">IF(S19="","",IF(O19&lt;S19,"Calc STRICTER (lower)","Calc more lenient (higher)"))</f>
        <v/>
      </c>
      <c r="Z19" s="20" t="str">
        <f aca="false">IF(B19="XL","Hemizygous male AF (grpmax)","grpmax FAF95; check SAS, IndiGen, GenomeIndia")</f>
        <v>grpmax FAF95; check SAS, IndiGen, GenomeIndia</v>
      </c>
      <c r="AA19" s="20"/>
      <c r="AB19" s="20"/>
    </row>
    <row r="20" customFormat="false" ht="15" hidden="false" customHeight="false" outlineLevel="0" collapsed="false">
      <c r="A20" s="19" t="s">
        <v>120</v>
      </c>
      <c r="B20" s="20" t="s">
        <v>96</v>
      </c>
      <c r="C20" s="20" t="s">
        <v>105</v>
      </c>
      <c r="D20" s="21" t="n">
        <f aca="false">SUMIF(Indian_Gene_Shares!$B$5:$B$47,A20,Indian_Gene_Shares!$G$5:$G$47)</f>
        <v>0</v>
      </c>
      <c r="E20" s="9" t="n">
        <f aca="false">IFERROR(INDEX(ARIDE_Cohort!$C$6:$C$207,MATCH(A20,ARIDE_Cohort!$A$6:$A$207,0)),0)</f>
        <v>0</v>
      </c>
      <c r="F20" s="22" t="n">
        <f aca="false">MAX(Inputs!$B$24,IF(AND(Inputs!$B$29="ARIDE cohort",ARIDE_Cohort!$B$3&gt;=Inputs!$B$30),E20,D20))</f>
        <v>0.01</v>
      </c>
      <c r="G20" s="20" t="str">
        <f aca="false">IF(AND(Inputs!$B$29="ARIDE cohort",ARIDE_Cohort!$B$3&gt;=Inputs!$B$30),IF(E20&gt;Inputs!$B$24,"ARIDE cohort","Floor (ARIDE share below floor)"),IF(D20&gt;Inputs!$B$24,"Indian literature",IF(D20&gt;0,"Floor (Indian share below floor)","Floor (no Indian data)")))</f>
        <v>Floor (no Indian data)</v>
      </c>
      <c r="H20" s="23" t="n">
        <f aca="false">IF(B20="AR",Inputs!$B$14,IF(B20="AD",Inputs!$B$15,Inputs!$B$16))</f>
        <v>1</v>
      </c>
      <c r="I20" s="12"/>
      <c r="J20" s="24" t="n">
        <f aca="false">IF(I20="",H20,I20)</f>
        <v>1</v>
      </c>
      <c r="K20" s="12"/>
      <c r="L20" s="24" t="n">
        <f aca="false">IF(K20="",Inputs!$B$20,K20)</f>
        <v>0.5</v>
      </c>
      <c r="M20" s="25" t="n">
        <f aca="false">IF(B20="AR",SQRT(Inputs!$B$9*F20/J20),IF(B20="AD",Inputs!$B$9*F20/(2*J20),2*Inputs!$B$9*F20/J20))</f>
        <v>0.00470090743184764</v>
      </c>
      <c r="N20" s="25" t="n">
        <f aca="false">IF(B20="AR",IF(Inputs!$B$25=0,SQRT(Inputs!$B$8*F20/J20),(-Inputs!$B$25+SQRT(Inputs!$B$25^2+4*(1-Inputs!$B$25)*Inputs!$B$8*F20/J20))/(2*(1-Inputs!$B$25))),IF(B20="AD",Inputs!$B$8*F20/(2*J20),2*Inputs!$B$8*F20/J20))</f>
        <v>0.00416319359719033</v>
      </c>
      <c r="O20" s="25" t="n">
        <f aca="false">MIN(Inputs!$B$26,M20*L20)</f>
        <v>0.00235045371592382</v>
      </c>
      <c r="P20" s="25" t="n">
        <f aca="false">MIN(Inputs!$B$26,O20*Inputs!$B$19)</f>
        <v>0.0235045371592382</v>
      </c>
      <c r="Q20" s="25" t="n">
        <f aca="false">MIN(O20,N20*Inputs!$B$21)</f>
        <v>0.000208159679859516</v>
      </c>
      <c r="R20" s="26"/>
      <c r="S20" s="26"/>
      <c r="T20" s="26"/>
      <c r="U20" s="20" t="str">
        <f aca="false">IF(COUNT(R20:T20)&gt;0,"Published spec (+calc where blank)","Calculated (this workbook)")</f>
        <v>Calculated (this workbook)</v>
      </c>
      <c r="V20" s="28" t="n">
        <f aca="false">IF(R20="",MAX(P20,W20),R20)</f>
        <v>0.0235045371592382</v>
      </c>
      <c r="W20" s="28" t="n">
        <f aca="false">IF(S20="",O20,S20)</f>
        <v>0.00235045371592382</v>
      </c>
      <c r="X20" s="28" t="n">
        <f aca="false">IF(T20="",Q20,T20)</f>
        <v>0.000208159679859516</v>
      </c>
      <c r="Y20" s="20" t="str">
        <f aca="false">IF(S20="","",IF(O20&lt;S20,"Calc STRICTER (lower)","Calc more lenient (higher)"))</f>
        <v/>
      </c>
      <c r="Z20" s="20" t="str">
        <f aca="false">IF(B20="XL","Hemizygous male AF (grpmax)","grpmax FAF95; check SAS, IndiGen, GenomeIndia")</f>
        <v>grpmax FAF95; check SAS, IndiGen, GenomeIndia</v>
      </c>
      <c r="AA20" s="20"/>
      <c r="AB20" s="20"/>
    </row>
    <row r="21" customFormat="false" ht="15" hidden="false" customHeight="false" outlineLevel="0" collapsed="false">
      <c r="A21" s="19" t="s">
        <v>121</v>
      </c>
      <c r="B21" s="20" t="s">
        <v>109</v>
      </c>
      <c r="C21" s="20" t="s">
        <v>105</v>
      </c>
      <c r="D21" s="21" t="n">
        <f aca="false">SUMIF(Indian_Gene_Shares!$B$5:$B$47,A21,Indian_Gene_Shares!$G$5:$G$47)</f>
        <v>0</v>
      </c>
      <c r="E21" s="9" t="n">
        <f aca="false">IFERROR(INDEX(ARIDE_Cohort!$C$6:$C$207,MATCH(A21,ARIDE_Cohort!$A$6:$A$207,0)),0)</f>
        <v>0</v>
      </c>
      <c r="F21" s="22" t="n">
        <f aca="false">MAX(Inputs!$B$24,IF(AND(Inputs!$B$29="ARIDE cohort",ARIDE_Cohort!$B$3&gt;=Inputs!$B$30),E21,D21))</f>
        <v>0.01</v>
      </c>
      <c r="G21" s="20" t="str">
        <f aca="false">IF(AND(Inputs!$B$29="ARIDE cohort",ARIDE_Cohort!$B$3&gt;=Inputs!$B$30),IF(E21&gt;Inputs!$B$24,"ARIDE cohort","Floor (ARIDE share below floor)"),IF(D21&gt;Inputs!$B$24,"Indian literature",IF(D21&gt;0,"Floor (Indian share below floor)","Floor (no Indian data)")))</f>
        <v>Floor (no Indian data)</v>
      </c>
      <c r="H21" s="23" t="n">
        <f aca="false">IF(B21="AR",Inputs!$B$14,IF(B21="AD",Inputs!$B$15,Inputs!$B$16))</f>
        <v>0.5</v>
      </c>
      <c r="I21" s="12"/>
      <c r="J21" s="24" t="n">
        <f aca="false">IF(I21="",H21,I21)</f>
        <v>0.5</v>
      </c>
      <c r="K21" s="12"/>
      <c r="L21" s="24" t="n">
        <f aca="false">IF(K21="",Inputs!$B$20,K21)</f>
        <v>0.5</v>
      </c>
      <c r="M21" s="25" t="n">
        <f aca="false">IF(B21="AR",SQRT(Inputs!$B$9*F21/J21),IF(B21="AD",Inputs!$B$9*F21/(2*J21),2*Inputs!$B$9*F21/J21))</f>
        <v>2.20985306828003E-005</v>
      </c>
      <c r="N21" s="25" t="n">
        <f aca="false">IF(B21="AR",IF(Inputs!$B$25=0,SQRT(Inputs!$B$8*F21/J21),(-Inputs!$B$25+SQRT(Inputs!$B$25^2+4*(1-Inputs!$B$25)*Inputs!$B$8*F21/J21))/(2*(1-Inputs!$B$25))),IF(B21="AD",Inputs!$B$8*F21/(2*J21),2*Inputs!$B$8*F21/J21))</f>
        <v>1.73321809276865E-005</v>
      </c>
      <c r="O21" s="25" t="n">
        <f aca="false">MIN(Inputs!$B$26,M21*L21)</f>
        <v>1.10492653414002E-005</v>
      </c>
      <c r="P21" s="25" t="n">
        <f aca="false">MIN(Inputs!$B$26,O21*Inputs!$B$19)</f>
        <v>0.000110492653414002</v>
      </c>
      <c r="Q21" s="25" t="n">
        <f aca="false">MIN(O21,N21*Inputs!$B$21)</f>
        <v>8.66609046384327E-007</v>
      </c>
      <c r="R21" s="26"/>
      <c r="S21" s="26"/>
      <c r="T21" s="26"/>
      <c r="U21" s="20" t="str">
        <f aca="false">IF(COUNT(R21:T21)&gt;0,"Published spec (+calc where blank)","Calculated (this workbook)")</f>
        <v>Calculated (this workbook)</v>
      </c>
      <c r="V21" s="28" t="n">
        <f aca="false">IF(R21="",MAX(P21,W21),R21)</f>
        <v>0.000110492653414002</v>
      </c>
      <c r="W21" s="28" t="n">
        <f aca="false">IF(S21="",O21,S21)</f>
        <v>1.10492653414002E-005</v>
      </c>
      <c r="X21" s="28" t="n">
        <f aca="false">IF(T21="",Q21,T21)</f>
        <v>8.66609046384327E-007</v>
      </c>
      <c r="Y21" s="20" t="str">
        <f aca="false">IF(S21="","",IF(O21&lt;S21,"Calc STRICTER (lower)","Calc more lenient (higher)"))</f>
        <v/>
      </c>
      <c r="Z21" s="20" t="str">
        <f aca="false">IF(B21="XL","Hemizygous male AF (grpmax)","grpmax FAF95; check SAS, IndiGen, GenomeIndia")</f>
        <v>grpmax FAF95; check SAS, IndiGen, GenomeIndia</v>
      </c>
      <c r="AA21" s="20"/>
      <c r="AB21" s="20"/>
    </row>
    <row r="22" customFormat="false" ht="15" hidden="false" customHeight="false" outlineLevel="0" collapsed="false">
      <c r="A22" s="19" t="s">
        <v>122</v>
      </c>
      <c r="B22" s="20" t="s">
        <v>96</v>
      </c>
      <c r="C22" s="20" t="s">
        <v>123</v>
      </c>
      <c r="D22" s="21" t="n">
        <f aca="false">SUMIF(Indian_Gene_Shares!$B$5:$B$47,A22,Indian_Gene_Shares!$G$5:$G$47)</f>
        <v>0.00223351063829787</v>
      </c>
      <c r="E22" s="9" t="n">
        <f aca="false">IFERROR(INDEX(ARIDE_Cohort!$C$6:$C$207,MATCH(A22,ARIDE_Cohort!$A$6:$A$207,0)),0)</f>
        <v>0</v>
      </c>
      <c r="F22" s="22" t="n">
        <f aca="false">MAX(Inputs!$B$24,IF(AND(Inputs!$B$29="ARIDE cohort",ARIDE_Cohort!$B$3&gt;=Inputs!$B$30),E22,D22))</f>
        <v>0.01</v>
      </c>
      <c r="G22" s="20" t="str">
        <f aca="false">IF(AND(Inputs!$B$29="ARIDE cohort",ARIDE_Cohort!$B$3&gt;=Inputs!$B$30),IF(E22&gt;Inputs!$B$24,"ARIDE cohort","Floor (ARIDE share below floor)"),IF(D22&gt;Inputs!$B$24,"Indian literature",IF(D22&gt;0,"Floor (Indian share below floor)","Floor (no Indian data)")))</f>
        <v>Floor (Indian share below floor)</v>
      </c>
      <c r="H22" s="23" t="n">
        <f aca="false">IF(B22="AR",Inputs!$B$14,IF(B22="AD",Inputs!$B$15,Inputs!$B$16))</f>
        <v>1</v>
      </c>
      <c r="I22" s="12"/>
      <c r="J22" s="24" t="n">
        <f aca="false">IF(I22="",H22,I22)</f>
        <v>1</v>
      </c>
      <c r="K22" s="12"/>
      <c r="L22" s="24" t="n">
        <f aca="false">IF(K22="",Inputs!$B$20,K22)</f>
        <v>0.5</v>
      </c>
      <c r="M22" s="25" t="n">
        <f aca="false">IF(B22="AR",SQRT(Inputs!$B$9*F22/J22),IF(B22="AD",Inputs!$B$9*F22/(2*J22),2*Inputs!$B$9*F22/J22))</f>
        <v>0.00470090743184764</v>
      </c>
      <c r="N22" s="25" t="n">
        <f aca="false">IF(B22="AR",IF(Inputs!$B$25=0,SQRT(Inputs!$B$8*F22/J22),(-Inputs!$B$25+SQRT(Inputs!$B$25^2+4*(1-Inputs!$B$25)*Inputs!$B$8*F22/J22))/(2*(1-Inputs!$B$25))),IF(B22="AD",Inputs!$B$8*F22/(2*J22),2*Inputs!$B$8*F22/J22))</f>
        <v>0.00416319359719033</v>
      </c>
      <c r="O22" s="25" t="n">
        <f aca="false">MIN(Inputs!$B$26,M22*L22)</f>
        <v>0.00235045371592382</v>
      </c>
      <c r="P22" s="25" t="n">
        <f aca="false">MIN(Inputs!$B$26,O22*Inputs!$B$19)</f>
        <v>0.0235045371592382</v>
      </c>
      <c r="Q22" s="25" t="n">
        <f aca="false">MIN(O22,N22*Inputs!$B$21)</f>
        <v>0.000208159679859516</v>
      </c>
      <c r="R22" s="26"/>
      <c r="S22" s="26"/>
      <c r="T22" s="26"/>
      <c r="U22" s="20" t="str">
        <f aca="false">IF(COUNT(R22:T22)&gt;0,"Published spec (+calc where blank)","Calculated (this workbook)")</f>
        <v>Calculated (this workbook)</v>
      </c>
      <c r="V22" s="28" t="n">
        <f aca="false">IF(R22="",MAX(P22,W22),R22)</f>
        <v>0.0235045371592382</v>
      </c>
      <c r="W22" s="28" t="n">
        <f aca="false">IF(S22="",O22,S22)</f>
        <v>0.00235045371592382</v>
      </c>
      <c r="X22" s="28" t="n">
        <f aca="false">IF(T22="",Q22,T22)</f>
        <v>0.000208159679859516</v>
      </c>
      <c r="Y22" s="20" t="str">
        <f aca="false">IF(S22="","",IF(O22&lt;S22,"Calc STRICTER (lower)","Calc more lenient (higher)"))</f>
        <v/>
      </c>
      <c r="Z22" s="20" t="str">
        <f aca="false">IF(B22="XL","Hemizygous male AF (grpmax)","grpmax FAF95; check SAS, IndiGen, GenomeIndia")</f>
        <v>grpmax FAF95; check SAS, IndiGen, GenomeIndia</v>
      </c>
      <c r="AA22" s="20"/>
      <c r="AB22" s="20"/>
    </row>
    <row r="23" customFormat="false" ht="15" hidden="false" customHeight="false" outlineLevel="0" collapsed="false">
      <c r="A23" s="19" t="s">
        <v>124</v>
      </c>
      <c r="B23" s="20" t="s">
        <v>96</v>
      </c>
      <c r="C23" s="20" t="s">
        <v>125</v>
      </c>
      <c r="D23" s="21" t="n">
        <f aca="false">SUMIF(Indian_Gene_Shares!$B$5:$B$47,A23,Indian_Gene_Shares!$G$5:$G$47)</f>
        <v>0</v>
      </c>
      <c r="E23" s="9" t="n">
        <f aca="false">IFERROR(INDEX(ARIDE_Cohort!$C$6:$C$207,MATCH(A23,ARIDE_Cohort!$A$6:$A$207,0)),0)</f>
        <v>0</v>
      </c>
      <c r="F23" s="22" t="n">
        <f aca="false">MAX(Inputs!$B$24,IF(AND(Inputs!$B$29="ARIDE cohort",ARIDE_Cohort!$B$3&gt;=Inputs!$B$30),E23,D23))</f>
        <v>0.01</v>
      </c>
      <c r="G23" s="20" t="str">
        <f aca="false">IF(AND(Inputs!$B$29="ARIDE cohort",ARIDE_Cohort!$B$3&gt;=Inputs!$B$30),IF(E23&gt;Inputs!$B$24,"ARIDE cohort","Floor (ARIDE share below floor)"),IF(D23&gt;Inputs!$B$24,"Indian literature",IF(D23&gt;0,"Floor (Indian share below floor)","Floor (no Indian data)")))</f>
        <v>Floor (no Indian data)</v>
      </c>
      <c r="H23" s="23" t="n">
        <f aca="false">IF(B23="AR",Inputs!$B$14,IF(B23="AD",Inputs!$B$15,Inputs!$B$16))</f>
        <v>1</v>
      </c>
      <c r="I23" s="12"/>
      <c r="J23" s="24" t="n">
        <f aca="false">IF(I23="",H23,I23)</f>
        <v>1</v>
      </c>
      <c r="K23" s="12"/>
      <c r="L23" s="24" t="n">
        <f aca="false">IF(K23="",Inputs!$B$20,K23)</f>
        <v>0.5</v>
      </c>
      <c r="M23" s="25" t="n">
        <f aca="false">IF(B23="AR",SQRT(Inputs!$B$9*F23/J23),IF(B23="AD",Inputs!$B$9*F23/(2*J23),2*Inputs!$B$9*F23/J23))</f>
        <v>0.00470090743184764</v>
      </c>
      <c r="N23" s="25" t="n">
        <f aca="false">IF(B23="AR",IF(Inputs!$B$25=0,SQRT(Inputs!$B$8*F23/J23),(-Inputs!$B$25+SQRT(Inputs!$B$25^2+4*(1-Inputs!$B$25)*Inputs!$B$8*F23/J23))/(2*(1-Inputs!$B$25))),IF(B23="AD",Inputs!$B$8*F23/(2*J23),2*Inputs!$B$8*F23/J23))</f>
        <v>0.00416319359719033</v>
      </c>
      <c r="O23" s="25" t="n">
        <f aca="false">MIN(Inputs!$B$26,M23*L23)</f>
        <v>0.00235045371592382</v>
      </c>
      <c r="P23" s="25" t="n">
        <f aca="false">MIN(Inputs!$B$26,O23*Inputs!$B$19)</f>
        <v>0.0235045371592382</v>
      </c>
      <c r="Q23" s="25" t="n">
        <f aca="false">MIN(O23,N23*Inputs!$B$21)</f>
        <v>0.000208159679859516</v>
      </c>
      <c r="R23" s="26"/>
      <c r="S23" s="26"/>
      <c r="T23" s="26"/>
      <c r="U23" s="20" t="str">
        <f aca="false">IF(COUNT(R23:T23)&gt;0,"Published spec (+calc where blank)","Calculated (this workbook)")</f>
        <v>Calculated (this workbook)</v>
      </c>
      <c r="V23" s="28" t="n">
        <f aca="false">IF(R23="",MAX(P23,W23),R23)</f>
        <v>0.0235045371592382</v>
      </c>
      <c r="W23" s="28" t="n">
        <f aca="false">IF(S23="",O23,S23)</f>
        <v>0.00235045371592382</v>
      </c>
      <c r="X23" s="28" t="n">
        <f aca="false">IF(T23="",Q23,T23)</f>
        <v>0.000208159679859516</v>
      </c>
      <c r="Y23" s="20" t="str">
        <f aca="false">IF(S23="","",IF(O23&lt;S23,"Calc STRICTER (lower)","Calc more lenient (higher)"))</f>
        <v/>
      </c>
      <c r="Z23" s="20" t="str">
        <f aca="false">IF(B23="XL","Hemizygous male AF (grpmax)","grpmax FAF95; check SAS, IndiGen, GenomeIndia")</f>
        <v>grpmax FAF95; check SAS, IndiGen, GenomeIndia</v>
      </c>
      <c r="AA23" s="20"/>
      <c r="AB23" s="20"/>
    </row>
    <row r="24" customFormat="false" ht="15" hidden="false" customHeight="false" outlineLevel="0" collapsed="false">
      <c r="A24" s="19" t="s">
        <v>126</v>
      </c>
      <c r="B24" s="20" t="s">
        <v>96</v>
      </c>
      <c r="C24" s="20" t="s">
        <v>127</v>
      </c>
      <c r="D24" s="21" t="n">
        <f aca="false">SUMIF(Indian_Gene_Shares!$B$5:$B$47,A24,Indian_Gene_Shares!$G$5:$G$47)</f>
        <v>0</v>
      </c>
      <c r="E24" s="9" t="n">
        <f aca="false">IFERROR(INDEX(ARIDE_Cohort!$C$6:$C$207,MATCH(A24,ARIDE_Cohort!$A$6:$A$207,0)),0)</f>
        <v>0</v>
      </c>
      <c r="F24" s="22" t="n">
        <f aca="false">MAX(Inputs!$B$24,IF(AND(Inputs!$B$29="ARIDE cohort",ARIDE_Cohort!$B$3&gt;=Inputs!$B$30),E24,D24))</f>
        <v>0.01</v>
      </c>
      <c r="G24" s="20" t="str">
        <f aca="false">IF(AND(Inputs!$B$29="ARIDE cohort",ARIDE_Cohort!$B$3&gt;=Inputs!$B$30),IF(E24&gt;Inputs!$B$24,"ARIDE cohort","Floor (ARIDE share below floor)"),IF(D24&gt;Inputs!$B$24,"Indian literature",IF(D24&gt;0,"Floor (Indian share below floor)","Floor (no Indian data)")))</f>
        <v>Floor (no Indian data)</v>
      </c>
      <c r="H24" s="23" t="n">
        <f aca="false">IF(B24="AR",Inputs!$B$14,IF(B24="AD",Inputs!$B$15,Inputs!$B$16))</f>
        <v>1</v>
      </c>
      <c r="I24" s="12"/>
      <c r="J24" s="24" t="n">
        <f aca="false">IF(I24="",H24,I24)</f>
        <v>1</v>
      </c>
      <c r="K24" s="12"/>
      <c r="L24" s="24" t="n">
        <f aca="false">IF(K24="",Inputs!$B$20,K24)</f>
        <v>0.5</v>
      </c>
      <c r="M24" s="25" t="n">
        <f aca="false">IF(B24="AR",SQRT(Inputs!$B$9*F24/J24),IF(B24="AD",Inputs!$B$9*F24/(2*J24),2*Inputs!$B$9*F24/J24))</f>
        <v>0.00470090743184764</v>
      </c>
      <c r="N24" s="25" t="n">
        <f aca="false">IF(B24="AR",IF(Inputs!$B$25=0,SQRT(Inputs!$B$8*F24/J24),(-Inputs!$B$25+SQRT(Inputs!$B$25^2+4*(1-Inputs!$B$25)*Inputs!$B$8*F24/J24))/(2*(1-Inputs!$B$25))),IF(B24="AD",Inputs!$B$8*F24/(2*J24),2*Inputs!$B$8*F24/J24))</f>
        <v>0.00416319359719033</v>
      </c>
      <c r="O24" s="25" t="n">
        <f aca="false">MIN(Inputs!$B$26,M24*L24)</f>
        <v>0.00235045371592382</v>
      </c>
      <c r="P24" s="25" t="n">
        <f aca="false">MIN(Inputs!$B$26,O24*Inputs!$B$19)</f>
        <v>0.0235045371592382</v>
      </c>
      <c r="Q24" s="25" t="n">
        <f aca="false">MIN(O24,N24*Inputs!$B$21)</f>
        <v>0.000208159679859516</v>
      </c>
      <c r="R24" s="26"/>
      <c r="S24" s="26"/>
      <c r="T24" s="26"/>
      <c r="U24" s="20" t="str">
        <f aca="false">IF(COUNT(R24:T24)&gt;0,"Published spec (+calc where blank)","Calculated (this workbook)")</f>
        <v>Calculated (this workbook)</v>
      </c>
      <c r="V24" s="28" t="n">
        <f aca="false">IF(R24="",MAX(P24,W24),R24)</f>
        <v>0.0235045371592382</v>
      </c>
      <c r="W24" s="28" t="n">
        <f aca="false">IF(S24="",O24,S24)</f>
        <v>0.00235045371592382</v>
      </c>
      <c r="X24" s="28" t="n">
        <f aca="false">IF(T24="",Q24,T24)</f>
        <v>0.000208159679859516</v>
      </c>
      <c r="Y24" s="20" t="str">
        <f aca="false">IF(S24="","",IF(O24&lt;S24,"Calc STRICTER (lower)","Calc more lenient (higher)"))</f>
        <v/>
      </c>
      <c r="Z24" s="20" t="str">
        <f aca="false">IF(B24="XL","Hemizygous male AF (grpmax)","grpmax FAF95; check SAS, IndiGen, GenomeIndia")</f>
        <v>grpmax FAF95; check SAS, IndiGen, GenomeIndia</v>
      </c>
      <c r="AA24" s="20"/>
      <c r="AB24" s="20"/>
    </row>
    <row r="25" customFormat="false" ht="15" hidden="false" customHeight="false" outlineLevel="0" collapsed="false">
      <c r="A25" s="19" t="s">
        <v>128</v>
      </c>
      <c r="B25" s="20" t="s">
        <v>96</v>
      </c>
      <c r="C25" s="20" t="s">
        <v>129</v>
      </c>
      <c r="D25" s="21" t="n">
        <f aca="false">SUMIF(Indian_Gene_Shares!$B$5:$B$47,A25,Indian_Gene_Shares!$G$5:$G$47)</f>
        <v>0</v>
      </c>
      <c r="E25" s="9" t="n">
        <f aca="false">IFERROR(INDEX(ARIDE_Cohort!$C$6:$C$207,MATCH(A25,ARIDE_Cohort!$A$6:$A$207,0)),0)</f>
        <v>0</v>
      </c>
      <c r="F25" s="22" t="n">
        <f aca="false">MAX(Inputs!$B$24,IF(AND(Inputs!$B$29="ARIDE cohort",ARIDE_Cohort!$B$3&gt;=Inputs!$B$30),E25,D25))</f>
        <v>0.01</v>
      </c>
      <c r="G25" s="20" t="str">
        <f aca="false">IF(AND(Inputs!$B$29="ARIDE cohort",ARIDE_Cohort!$B$3&gt;=Inputs!$B$30),IF(E25&gt;Inputs!$B$24,"ARIDE cohort","Floor (ARIDE share below floor)"),IF(D25&gt;Inputs!$B$24,"Indian literature",IF(D25&gt;0,"Floor (Indian share below floor)","Floor (no Indian data)")))</f>
        <v>Floor (no Indian data)</v>
      </c>
      <c r="H25" s="23" t="n">
        <f aca="false">IF(B25="AR",Inputs!$B$14,IF(B25="AD",Inputs!$B$15,Inputs!$B$16))</f>
        <v>1</v>
      </c>
      <c r="I25" s="12"/>
      <c r="J25" s="24" t="n">
        <f aca="false">IF(I25="",H25,I25)</f>
        <v>1</v>
      </c>
      <c r="K25" s="12"/>
      <c r="L25" s="24" t="n">
        <f aca="false">IF(K25="",Inputs!$B$20,K25)</f>
        <v>0.5</v>
      </c>
      <c r="M25" s="25" t="n">
        <f aca="false">IF(B25="AR",SQRT(Inputs!$B$9*F25/J25),IF(B25="AD",Inputs!$B$9*F25/(2*J25),2*Inputs!$B$9*F25/J25))</f>
        <v>0.00470090743184764</v>
      </c>
      <c r="N25" s="25" t="n">
        <f aca="false">IF(B25="AR",IF(Inputs!$B$25=0,SQRT(Inputs!$B$8*F25/J25),(-Inputs!$B$25+SQRT(Inputs!$B$25^2+4*(1-Inputs!$B$25)*Inputs!$B$8*F25/J25))/(2*(1-Inputs!$B$25))),IF(B25="AD",Inputs!$B$8*F25/(2*J25),2*Inputs!$B$8*F25/J25))</f>
        <v>0.00416319359719033</v>
      </c>
      <c r="O25" s="25" t="n">
        <f aca="false">MIN(Inputs!$B$26,M25*L25)</f>
        <v>0.00235045371592382</v>
      </c>
      <c r="P25" s="25" t="n">
        <f aca="false">MIN(Inputs!$B$26,O25*Inputs!$B$19)</f>
        <v>0.0235045371592382</v>
      </c>
      <c r="Q25" s="25" t="n">
        <f aca="false">MIN(O25,N25*Inputs!$B$21)</f>
        <v>0.000208159679859516</v>
      </c>
      <c r="R25" s="26"/>
      <c r="S25" s="26"/>
      <c r="T25" s="26"/>
      <c r="U25" s="20" t="str">
        <f aca="false">IF(COUNT(R25:T25)&gt;0,"Published spec (+calc where blank)","Calculated (this workbook)")</f>
        <v>Calculated (this workbook)</v>
      </c>
      <c r="V25" s="28" t="n">
        <f aca="false">IF(R25="",MAX(P25,W25),R25)</f>
        <v>0.0235045371592382</v>
      </c>
      <c r="W25" s="28" t="n">
        <f aca="false">IF(S25="",O25,S25)</f>
        <v>0.00235045371592382</v>
      </c>
      <c r="X25" s="28" t="n">
        <f aca="false">IF(T25="",Q25,T25)</f>
        <v>0.000208159679859516</v>
      </c>
      <c r="Y25" s="20" t="str">
        <f aca="false">IF(S25="","",IF(O25&lt;S25,"Calc STRICTER (lower)","Calc more lenient (higher)"))</f>
        <v/>
      </c>
      <c r="Z25" s="20" t="str">
        <f aca="false">IF(B25="XL","Hemizygous male AF (grpmax)","grpmax FAF95; check SAS, IndiGen, GenomeIndia")</f>
        <v>grpmax FAF95; check SAS, IndiGen, GenomeIndia</v>
      </c>
      <c r="AA25" s="20"/>
      <c r="AB25" s="20"/>
    </row>
    <row r="26" customFormat="false" ht="15" hidden="false" customHeight="false" outlineLevel="0" collapsed="false">
      <c r="A26" s="19" t="s">
        <v>130</v>
      </c>
      <c r="B26" s="20" t="s">
        <v>96</v>
      </c>
      <c r="C26" s="20" t="s">
        <v>123</v>
      </c>
      <c r="D26" s="21" t="n">
        <f aca="false">SUMIF(Indian_Gene_Shares!$B$5:$B$47,A26,Indian_Gene_Shares!$G$5:$G$47)</f>
        <v>0</v>
      </c>
      <c r="E26" s="9" t="n">
        <f aca="false">IFERROR(INDEX(ARIDE_Cohort!$C$6:$C$207,MATCH(A26,ARIDE_Cohort!$A$6:$A$207,0)),0)</f>
        <v>0</v>
      </c>
      <c r="F26" s="22" t="n">
        <f aca="false">MAX(Inputs!$B$24,IF(AND(Inputs!$B$29="ARIDE cohort",ARIDE_Cohort!$B$3&gt;=Inputs!$B$30),E26,D26))</f>
        <v>0.01</v>
      </c>
      <c r="G26" s="20" t="str">
        <f aca="false">IF(AND(Inputs!$B$29="ARIDE cohort",ARIDE_Cohort!$B$3&gt;=Inputs!$B$30),IF(E26&gt;Inputs!$B$24,"ARIDE cohort","Floor (ARIDE share below floor)"),IF(D26&gt;Inputs!$B$24,"Indian literature",IF(D26&gt;0,"Floor (Indian share below floor)","Floor (no Indian data)")))</f>
        <v>Floor (no Indian data)</v>
      </c>
      <c r="H26" s="23" t="n">
        <f aca="false">IF(B26="AR",Inputs!$B$14,IF(B26="AD",Inputs!$B$15,Inputs!$B$16))</f>
        <v>1</v>
      </c>
      <c r="I26" s="12"/>
      <c r="J26" s="24" t="n">
        <f aca="false">IF(I26="",H26,I26)</f>
        <v>1</v>
      </c>
      <c r="K26" s="12"/>
      <c r="L26" s="24" t="n">
        <f aca="false">IF(K26="",Inputs!$B$20,K26)</f>
        <v>0.5</v>
      </c>
      <c r="M26" s="25" t="n">
        <f aca="false">IF(B26="AR",SQRT(Inputs!$B$9*F26/J26),IF(B26="AD",Inputs!$B$9*F26/(2*J26),2*Inputs!$B$9*F26/J26))</f>
        <v>0.00470090743184764</v>
      </c>
      <c r="N26" s="25" t="n">
        <f aca="false">IF(B26="AR",IF(Inputs!$B$25=0,SQRT(Inputs!$B$8*F26/J26),(-Inputs!$B$25+SQRT(Inputs!$B$25^2+4*(1-Inputs!$B$25)*Inputs!$B$8*F26/J26))/(2*(1-Inputs!$B$25))),IF(B26="AD",Inputs!$B$8*F26/(2*J26),2*Inputs!$B$8*F26/J26))</f>
        <v>0.00416319359719033</v>
      </c>
      <c r="O26" s="25" t="n">
        <f aca="false">MIN(Inputs!$B$26,M26*L26)</f>
        <v>0.00235045371592382</v>
      </c>
      <c r="P26" s="25" t="n">
        <f aca="false">MIN(Inputs!$B$26,O26*Inputs!$B$19)</f>
        <v>0.0235045371592382</v>
      </c>
      <c r="Q26" s="25" t="n">
        <f aca="false">MIN(O26,N26*Inputs!$B$21)</f>
        <v>0.000208159679859516</v>
      </c>
      <c r="R26" s="26"/>
      <c r="S26" s="26"/>
      <c r="T26" s="26"/>
      <c r="U26" s="20" t="str">
        <f aca="false">IF(COUNT(R26:T26)&gt;0,"Published spec (+calc where blank)","Calculated (this workbook)")</f>
        <v>Calculated (this workbook)</v>
      </c>
      <c r="V26" s="28" t="n">
        <f aca="false">IF(R26="",MAX(P26,W26),R26)</f>
        <v>0.0235045371592382</v>
      </c>
      <c r="W26" s="28" t="n">
        <f aca="false">IF(S26="",O26,S26)</f>
        <v>0.00235045371592382</v>
      </c>
      <c r="X26" s="28" t="n">
        <f aca="false">IF(T26="",Q26,T26)</f>
        <v>0.000208159679859516</v>
      </c>
      <c r="Y26" s="20" t="str">
        <f aca="false">IF(S26="","",IF(O26&lt;S26,"Calc STRICTER (lower)","Calc more lenient (higher)"))</f>
        <v/>
      </c>
      <c r="Z26" s="20" t="str">
        <f aca="false">IF(B26="XL","Hemizygous male AF (grpmax)","grpmax FAF95; check SAS, IndiGen, GenomeIndia")</f>
        <v>grpmax FAF95; check SAS, IndiGen, GenomeIndia</v>
      </c>
      <c r="AA26" s="20"/>
      <c r="AB26" s="20"/>
    </row>
    <row r="27" customFormat="false" ht="15" hidden="false" customHeight="false" outlineLevel="0" collapsed="false">
      <c r="A27" s="19" t="s">
        <v>131</v>
      </c>
      <c r="B27" s="20" t="s">
        <v>96</v>
      </c>
      <c r="C27" s="20" t="s">
        <v>123</v>
      </c>
      <c r="D27" s="21" t="n">
        <f aca="false">SUMIF(Indian_Gene_Shares!$B$5:$B$47,A27,Indian_Gene_Shares!$G$5:$G$47)</f>
        <v>0.00223351063829787</v>
      </c>
      <c r="E27" s="9" t="n">
        <f aca="false">IFERROR(INDEX(ARIDE_Cohort!$C$6:$C$207,MATCH(A27,ARIDE_Cohort!$A$6:$A$207,0)),0)</f>
        <v>0</v>
      </c>
      <c r="F27" s="22" t="n">
        <f aca="false">MAX(Inputs!$B$24,IF(AND(Inputs!$B$29="ARIDE cohort",ARIDE_Cohort!$B$3&gt;=Inputs!$B$30),E27,D27))</f>
        <v>0.01</v>
      </c>
      <c r="G27" s="20" t="str">
        <f aca="false">IF(AND(Inputs!$B$29="ARIDE cohort",ARIDE_Cohort!$B$3&gt;=Inputs!$B$30),IF(E27&gt;Inputs!$B$24,"ARIDE cohort","Floor (ARIDE share below floor)"),IF(D27&gt;Inputs!$B$24,"Indian literature",IF(D27&gt;0,"Floor (Indian share below floor)","Floor (no Indian data)")))</f>
        <v>Floor (Indian share below floor)</v>
      </c>
      <c r="H27" s="23" t="n">
        <f aca="false">IF(B27="AR",Inputs!$B$14,IF(B27="AD",Inputs!$B$15,Inputs!$B$16))</f>
        <v>1</v>
      </c>
      <c r="I27" s="12"/>
      <c r="J27" s="24" t="n">
        <f aca="false">IF(I27="",H27,I27)</f>
        <v>1</v>
      </c>
      <c r="K27" s="12"/>
      <c r="L27" s="24" t="n">
        <f aca="false">IF(K27="",Inputs!$B$20,K27)</f>
        <v>0.5</v>
      </c>
      <c r="M27" s="25" t="n">
        <f aca="false">IF(B27="AR",SQRT(Inputs!$B$9*F27/J27),IF(B27="AD",Inputs!$B$9*F27/(2*J27),2*Inputs!$B$9*F27/J27))</f>
        <v>0.00470090743184764</v>
      </c>
      <c r="N27" s="25" t="n">
        <f aca="false">IF(B27="AR",IF(Inputs!$B$25=0,SQRT(Inputs!$B$8*F27/J27),(-Inputs!$B$25+SQRT(Inputs!$B$25^2+4*(1-Inputs!$B$25)*Inputs!$B$8*F27/J27))/(2*(1-Inputs!$B$25))),IF(B27="AD",Inputs!$B$8*F27/(2*J27),2*Inputs!$B$8*F27/J27))</f>
        <v>0.00416319359719033</v>
      </c>
      <c r="O27" s="25" t="n">
        <f aca="false">MIN(Inputs!$B$26,M27*L27)</f>
        <v>0.00235045371592382</v>
      </c>
      <c r="P27" s="25" t="n">
        <f aca="false">MIN(Inputs!$B$26,O27*Inputs!$B$19)</f>
        <v>0.0235045371592382</v>
      </c>
      <c r="Q27" s="25" t="n">
        <f aca="false">MIN(O27,N27*Inputs!$B$21)</f>
        <v>0.000208159679859516</v>
      </c>
      <c r="R27" s="26"/>
      <c r="S27" s="26"/>
      <c r="T27" s="26"/>
      <c r="U27" s="20" t="str">
        <f aca="false">IF(COUNT(R27:T27)&gt;0,"Published spec (+calc where blank)","Calculated (this workbook)")</f>
        <v>Calculated (this workbook)</v>
      </c>
      <c r="V27" s="28" t="n">
        <f aca="false">IF(R27="",MAX(P27,W27),R27)</f>
        <v>0.0235045371592382</v>
      </c>
      <c r="W27" s="28" t="n">
        <f aca="false">IF(S27="",O27,S27)</f>
        <v>0.00235045371592382</v>
      </c>
      <c r="X27" s="28" t="n">
        <f aca="false">IF(T27="",Q27,T27)</f>
        <v>0.000208159679859516</v>
      </c>
      <c r="Y27" s="20" t="str">
        <f aca="false">IF(S27="","",IF(O27&lt;S27,"Calc STRICTER (lower)","Calc more lenient (higher)"))</f>
        <v/>
      </c>
      <c r="Z27" s="20" t="str">
        <f aca="false">IF(B27="XL","Hemizygous male AF (grpmax)","grpmax FAF95; check SAS, IndiGen, GenomeIndia")</f>
        <v>grpmax FAF95; check SAS, IndiGen, GenomeIndia</v>
      </c>
      <c r="AA27" s="20"/>
      <c r="AB27" s="20"/>
    </row>
    <row r="28" customFormat="false" ht="15" hidden="false" customHeight="false" outlineLevel="0" collapsed="false">
      <c r="A28" s="19" t="s">
        <v>132</v>
      </c>
      <c r="B28" s="20" t="s">
        <v>96</v>
      </c>
      <c r="C28" s="20" t="s">
        <v>129</v>
      </c>
      <c r="D28" s="21" t="n">
        <f aca="false">SUMIF(Indian_Gene_Shares!$B$5:$B$47,A28,Indian_Gene_Shares!$G$5:$G$47)</f>
        <v>0</v>
      </c>
      <c r="E28" s="9" t="n">
        <f aca="false">IFERROR(INDEX(ARIDE_Cohort!$C$6:$C$207,MATCH(A28,ARIDE_Cohort!$A$6:$A$207,0)),0)</f>
        <v>0</v>
      </c>
      <c r="F28" s="22" t="n">
        <f aca="false">MAX(Inputs!$B$24,IF(AND(Inputs!$B$29="ARIDE cohort",ARIDE_Cohort!$B$3&gt;=Inputs!$B$30),E28,D28))</f>
        <v>0.01</v>
      </c>
      <c r="G28" s="20" t="str">
        <f aca="false">IF(AND(Inputs!$B$29="ARIDE cohort",ARIDE_Cohort!$B$3&gt;=Inputs!$B$30),IF(E28&gt;Inputs!$B$24,"ARIDE cohort","Floor (ARIDE share below floor)"),IF(D28&gt;Inputs!$B$24,"Indian literature",IF(D28&gt;0,"Floor (Indian share below floor)","Floor (no Indian data)")))</f>
        <v>Floor (no Indian data)</v>
      </c>
      <c r="H28" s="23" t="n">
        <f aca="false">IF(B28="AR",Inputs!$B$14,IF(B28="AD",Inputs!$B$15,Inputs!$B$16))</f>
        <v>1</v>
      </c>
      <c r="I28" s="12"/>
      <c r="J28" s="24" t="n">
        <f aca="false">IF(I28="",H28,I28)</f>
        <v>1</v>
      </c>
      <c r="K28" s="12"/>
      <c r="L28" s="24" t="n">
        <f aca="false">IF(K28="",Inputs!$B$20,K28)</f>
        <v>0.5</v>
      </c>
      <c r="M28" s="25" t="n">
        <f aca="false">IF(B28="AR",SQRT(Inputs!$B$9*F28/J28),IF(B28="AD",Inputs!$B$9*F28/(2*J28),2*Inputs!$B$9*F28/J28))</f>
        <v>0.00470090743184764</v>
      </c>
      <c r="N28" s="25" t="n">
        <f aca="false">IF(B28="AR",IF(Inputs!$B$25=0,SQRT(Inputs!$B$8*F28/J28),(-Inputs!$B$25+SQRT(Inputs!$B$25^2+4*(1-Inputs!$B$25)*Inputs!$B$8*F28/J28))/(2*(1-Inputs!$B$25))),IF(B28="AD",Inputs!$B$8*F28/(2*J28),2*Inputs!$B$8*F28/J28))</f>
        <v>0.00416319359719033</v>
      </c>
      <c r="O28" s="25" t="n">
        <f aca="false">MIN(Inputs!$B$26,M28*L28)</f>
        <v>0.00235045371592382</v>
      </c>
      <c r="P28" s="25" t="n">
        <f aca="false">MIN(Inputs!$B$26,O28*Inputs!$B$19)</f>
        <v>0.0235045371592382</v>
      </c>
      <c r="Q28" s="25" t="n">
        <f aca="false">MIN(O28,N28*Inputs!$B$21)</f>
        <v>0.000208159679859516</v>
      </c>
      <c r="R28" s="26"/>
      <c r="S28" s="26"/>
      <c r="T28" s="26"/>
      <c r="U28" s="20" t="str">
        <f aca="false">IF(COUNT(R28:T28)&gt;0,"Published spec (+calc where blank)","Calculated (this workbook)")</f>
        <v>Calculated (this workbook)</v>
      </c>
      <c r="V28" s="28" t="n">
        <f aca="false">IF(R28="",MAX(P28,W28),R28)</f>
        <v>0.0235045371592382</v>
      </c>
      <c r="W28" s="28" t="n">
        <f aca="false">IF(S28="",O28,S28)</f>
        <v>0.00235045371592382</v>
      </c>
      <c r="X28" s="28" t="n">
        <f aca="false">IF(T28="",Q28,T28)</f>
        <v>0.000208159679859516</v>
      </c>
      <c r="Y28" s="20" t="str">
        <f aca="false">IF(S28="","",IF(O28&lt;S28,"Calc STRICTER (lower)","Calc more lenient (higher)"))</f>
        <v/>
      </c>
      <c r="Z28" s="20" t="str">
        <f aca="false">IF(B28="XL","Hemizygous male AF (grpmax)","grpmax FAF95; check SAS, IndiGen, GenomeIndia")</f>
        <v>grpmax FAF95; check SAS, IndiGen, GenomeIndia</v>
      </c>
      <c r="AA28" s="20"/>
      <c r="AB28" s="20"/>
    </row>
    <row r="29" customFormat="false" ht="15" hidden="false" customHeight="false" outlineLevel="0" collapsed="false">
      <c r="A29" s="19" t="s">
        <v>133</v>
      </c>
      <c r="B29" s="20" t="s">
        <v>96</v>
      </c>
      <c r="C29" s="20" t="s">
        <v>129</v>
      </c>
      <c r="D29" s="21" t="n">
        <f aca="false">SUMIF(Indian_Gene_Shares!$B$5:$B$47,A29,Indian_Gene_Shares!$G$5:$G$47)</f>
        <v>0</v>
      </c>
      <c r="E29" s="9" t="n">
        <f aca="false">IFERROR(INDEX(ARIDE_Cohort!$C$6:$C$207,MATCH(A29,ARIDE_Cohort!$A$6:$A$207,0)),0)</f>
        <v>0</v>
      </c>
      <c r="F29" s="22" t="n">
        <f aca="false">MAX(Inputs!$B$24,IF(AND(Inputs!$B$29="ARIDE cohort",ARIDE_Cohort!$B$3&gt;=Inputs!$B$30),E29,D29))</f>
        <v>0.01</v>
      </c>
      <c r="G29" s="20" t="str">
        <f aca="false">IF(AND(Inputs!$B$29="ARIDE cohort",ARIDE_Cohort!$B$3&gt;=Inputs!$B$30),IF(E29&gt;Inputs!$B$24,"ARIDE cohort","Floor (ARIDE share below floor)"),IF(D29&gt;Inputs!$B$24,"Indian literature",IF(D29&gt;0,"Floor (Indian share below floor)","Floor (no Indian data)")))</f>
        <v>Floor (no Indian data)</v>
      </c>
      <c r="H29" s="23" t="n">
        <f aca="false">IF(B29="AR",Inputs!$B$14,IF(B29="AD",Inputs!$B$15,Inputs!$B$16))</f>
        <v>1</v>
      </c>
      <c r="I29" s="12"/>
      <c r="J29" s="24" t="n">
        <f aca="false">IF(I29="",H29,I29)</f>
        <v>1</v>
      </c>
      <c r="K29" s="12"/>
      <c r="L29" s="24" t="n">
        <f aca="false">IF(K29="",Inputs!$B$20,K29)</f>
        <v>0.5</v>
      </c>
      <c r="M29" s="25" t="n">
        <f aca="false">IF(B29="AR",SQRT(Inputs!$B$9*F29/J29),IF(B29="AD",Inputs!$B$9*F29/(2*J29),2*Inputs!$B$9*F29/J29))</f>
        <v>0.00470090743184764</v>
      </c>
      <c r="N29" s="25" t="n">
        <f aca="false">IF(B29="AR",IF(Inputs!$B$25=0,SQRT(Inputs!$B$8*F29/J29),(-Inputs!$B$25+SQRT(Inputs!$B$25^2+4*(1-Inputs!$B$25)*Inputs!$B$8*F29/J29))/(2*(1-Inputs!$B$25))),IF(B29="AD",Inputs!$B$8*F29/(2*J29),2*Inputs!$B$8*F29/J29))</f>
        <v>0.00416319359719033</v>
      </c>
      <c r="O29" s="25" t="n">
        <f aca="false">MIN(Inputs!$B$26,M29*L29)</f>
        <v>0.00235045371592382</v>
      </c>
      <c r="P29" s="25" t="n">
        <f aca="false">MIN(Inputs!$B$26,O29*Inputs!$B$19)</f>
        <v>0.0235045371592382</v>
      </c>
      <c r="Q29" s="25" t="n">
        <f aca="false">MIN(O29,N29*Inputs!$B$21)</f>
        <v>0.000208159679859516</v>
      </c>
      <c r="R29" s="26"/>
      <c r="S29" s="26"/>
      <c r="T29" s="26"/>
      <c r="U29" s="20" t="str">
        <f aca="false">IF(COUNT(R29:T29)&gt;0,"Published spec (+calc where blank)","Calculated (this workbook)")</f>
        <v>Calculated (this workbook)</v>
      </c>
      <c r="V29" s="28" t="n">
        <f aca="false">IF(R29="",MAX(P29,W29),R29)</f>
        <v>0.0235045371592382</v>
      </c>
      <c r="W29" s="28" t="n">
        <f aca="false">IF(S29="",O29,S29)</f>
        <v>0.00235045371592382</v>
      </c>
      <c r="X29" s="28" t="n">
        <f aca="false">IF(T29="",Q29,T29)</f>
        <v>0.000208159679859516</v>
      </c>
      <c r="Y29" s="20" t="str">
        <f aca="false">IF(S29="","",IF(O29&lt;S29,"Calc STRICTER (lower)","Calc more lenient (higher)"))</f>
        <v/>
      </c>
      <c r="Z29" s="20" t="str">
        <f aca="false">IF(B29="XL","Hemizygous male AF (grpmax)","grpmax FAF95; check SAS, IndiGen, GenomeIndia")</f>
        <v>grpmax FAF95; check SAS, IndiGen, GenomeIndia</v>
      </c>
      <c r="AA29" s="20"/>
      <c r="AB29" s="20"/>
    </row>
    <row r="30" customFormat="false" ht="15" hidden="false" customHeight="false" outlineLevel="0" collapsed="false">
      <c r="A30" s="19" t="s">
        <v>134</v>
      </c>
      <c r="B30" s="20" t="s">
        <v>96</v>
      </c>
      <c r="C30" s="20" t="s">
        <v>129</v>
      </c>
      <c r="D30" s="21" t="n">
        <f aca="false">SUMIF(Indian_Gene_Shares!$B$5:$B$47,A30,Indian_Gene_Shares!$G$5:$G$47)</f>
        <v>0</v>
      </c>
      <c r="E30" s="9" t="n">
        <f aca="false">IFERROR(INDEX(ARIDE_Cohort!$C$6:$C$207,MATCH(A30,ARIDE_Cohort!$A$6:$A$207,0)),0)</f>
        <v>0</v>
      </c>
      <c r="F30" s="22" t="n">
        <f aca="false">MAX(Inputs!$B$24,IF(AND(Inputs!$B$29="ARIDE cohort",ARIDE_Cohort!$B$3&gt;=Inputs!$B$30),E30,D30))</f>
        <v>0.01</v>
      </c>
      <c r="G30" s="20" t="str">
        <f aca="false">IF(AND(Inputs!$B$29="ARIDE cohort",ARIDE_Cohort!$B$3&gt;=Inputs!$B$30),IF(E30&gt;Inputs!$B$24,"ARIDE cohort","Floor (ARIDE share below floor)"),IF(D30&gt;Inputs!$B$24,"Indian literature",IF(D30&gt;0,"Floor (Indian share below floor)","Floor (no Indian data)")))</f>
        <v>Floor (no Indian data)</v>
      </c>
      <c r="H30" s="23" t="n">
        <f aca="false">IF(B30="AR",Inputs!$B$14,IF(B30="AD",Inputs!$B$15,Inputs!$B$16))</f>
        <v>1</v>
      </c>
      <c r="I30" s="12"/>
      <c r="J30" s="24" t="n">
        <f aca="false">IF(I30="",H30,I30)</f>
        <v>1</v>
      </c>
      <c r="K30" s="12"/>
      <c r="L30" s="24" t="n">
        <f aca="false">IF(K30="",Inputs!$B$20,K30)</f>
        <v>0.5</v>
      </c>
      <c r="M30" s="25" t="n">
        <f aca="false">IF(B30="AR",SQRT(Inputs!$B$9*F30/J30),IF(B30="AD",Inputs!$B$9*F30/(2*J30),2*Inputs!$B$9*F30/J30))</f>
        <v>0.00470090743184764</v>
      </c>
      <c r="N30" s="25" t="n">
        <f aca="false">IF(B30="AR",IF(Inputs!$B$25=0,SQRT(Inputs!$B$8*F30/J30),(-Inputs!$B$25+SQRT(Inputs!$B$25^2+4*(1-Inputs!$B$25)*Inputs!$B$8*F30/J30))/(2*(1-Inputs!$B$25))),IF(B30="AD",Inputs!$B$8*F30/(2*J30),2*Inputs!$B$8*F30/J30))</f>
        <v>0.00416319359719033</v>
      </c>
      <c r="O30" s="25" t="n">
        <f aca="false">MIN(Inputs!$B$26,M30*L30)</f>
        <v>0.00235045371592382</v>
      </c>
      <c r="P30" s="25" t="n">
        <f aca="false">MIN(Inputs!$B$26,O30*Inputs!$B$19)</f>
        <v>0.0235045371592382</v>
      </c>
      <c r="Q30" s="25" t="n">
        <f aca="false">MIN(O30,N30*Inputs!$B$21)</f>
        <v>0.000208159679859516</v>
      </c>
      <c r="R30" s="26"/>
      <c r="S30" s="26"/>
      <c r="T30" s="26"/>
      <c r="U30" s="20" t="str">
        <f aca="false">IF(COUNT(R30:T30)&gt;0,"Published spec (+calc where blank)","Calculated (this workbook)")</f>
        <v>Calculated (this workbook)</v>
      </c>
      <c r="V30" s="28" t="n">
        <f aca="false">IF(R30="",MAX(P30,W30),R30)</f>
        <v>0.0235045371592382</v>
      </c>
      <c r="W30" s="28" t="n">
        <f aca="false">IF(S30="",O30,S30)</f>
        <v>0.00235045371592382</v>
      </c>
      <c r="X30" s="28" t="n">
        <f aca="false">IF(T30="",Q30,T30)</f>
        <v>0.000208159679859516</v>
      </c>
      <c r="Y30" s="20" t="str">
        <f aca="false">IF(S30="","",IF(O30&lt;S30,"Calc STRICTER (lower)","Calc more lenient (higher)"))</f>
        <v/>
      </c>
      <c r="Z30" s="20" t="str">
        <f aca="false">IF(B30="XL","Hemizygous male AF (grpmax)","grpmax FAF95; check SAS, IndiGen, GenomeIndia")</f>
        <v>grpmax FAF95; check SAS, IndiGen, GenomeIndia</v>
      </c>
      <c r="AA30" s="20"/>
      <c r="AB30" s="20"/>
    </row>
    <row r="31" customFormat="false" ht="15" hidden="false" customHeight="false" outlineLevel="0" collapsed="false">
      <c r="A31" s="19" t="s">
        <v>135</v>
      </c>
      <c r="B31" s="20" t="s">
        <v>96</v>
      </c>
      <c r="C31" s="20" t="s">
        <v>129</v>
      </c>
      <c r="D31" s="21" t="n">
        <f aca="false">SUMIF(Indian_Gene_Shares!$B$5:$B$47,A31,Indian_Gene_Shares!$G$5:$G$47)</f>
        <v>0</v>
      </c>
      <c r="E31" s="9" t="n">
        <f aca="false">IFERROR(INDEX(ARIDE_Cohort!$C$6:$C$207,MATCH(A31,ARIDE_Cohort!$A$6:$A$207,0)),0)</f>
        <v>0</v>
      </c>
      <c r="F31" s="22" t="n">
        <f aca="false">MAX(Inputs!$B$24,IF(AND(Inputs!$B$29="ARIDE cohort",ARIDE_Cohort!$B$3&gt;=Inputs!$B$30),E31,D31))</f>
        <v>0.01</v>
      </c>
      <c r="G31" s="20" t="str">
        <f aca="false">IF(AND(Inputs!$B$29="ARIDE cohort",ARIDE_Cohort!$B$3&gt;=Inputs!$B$30),IF(E31&gt;Inputs!$B$24,"ARIDE cohort","Floor (ARIDE share below floor)"),IF(D31&gt;Inputs!$B$24,"Indian literature",IF(D31&gt;0,"Floor (Indian share below floor)","Floor (no Indian data)")))</f>
        <v>Floor (no Indian data)</v>
      </c>
      <c r="H31" s="23" t="n">
        <f aca="false">IF(B31="AR",Inputs!$B$14,IF(B31="AD",Inputs!$B$15,Inputs!$B$16))</f>
        <v>1</v>
      </c>
      <c r="I31" s="12"/>
      <c r="J31" s="24" t="n">
        <f aca="false">IF(I31="",H31,I31)</f>
        <v>1</v>
      </c>
      <c r="K31" s="12"/>
      <c r="L31" s="24" t="n">
        <f aca="false">IF(K31="",Inputs!$B$20,K31)</f>
        <v>0.5</v>
      </c>
      <c r="M31" s="25" t="n">
        <f aca="false">IF(B31="AR",SQRT(Inputs!$B$9*F31/J31),IF(B31="AD",Inputs!$B$9*F31/(2*J31),2*Inputs!$B$9*F31/J31))</f>
        <v>0.00470090743184764</v>
      </c>
      <c r="N31" s="25" t="n">
        <f aca="false">IF(B31="AR",IF(Inputs!$B$25=0,SQRT(Inputs!$B$8*F31/J31),(-Inputs!$B$25+SQRT(Inputs!$B$25^2+4*(1-Inputs!$B$25)*Inputs!$B$8*F31/J31))/(2*(1-Inputs!$B$25))),IF(B31="AD",Inputs!$B$8*F31/(2*J31),2*Inputs!$B$8*F31/J31))</f>
        <v>0.00416319359719033</v>
      </c>
      <c r="O31" s="25" t="n">
        <f aca="false">MIN(Inputs!$B$26,M31*L31)</f>
        <v>0.00235045371592382</v>
      </c>
      <c r="P31" s="25" t="n">
        <f aca="false">MIN(Inputs!$B$26,O31*Inputs!$B$19)</f>
        <v>0.0235045371592382</v>
      </c>
      <c r="Q31" s="25" t="n">
        <f aca="false">MIN(O31,N31*Inputs!$B$21)</f>
        <v>0.000208159679859516</v>
      </c>
      <c r="R31" s="26"/>
      <c r="S31" s="26"/>
      <c r="T31" s="26"/>
      <c r="U31" s="20" t="str">
        <f aca="false">IF(COUNT(R31:T31)&gt;0,"Published spec (+calc where blank)","Calculated (this workbook)")</f>
        <v>Calculated (this workbook)</v>
      </c>
      <c r="V31" s="28" t="n">
        <f aca="false">IF(R31="",MAX(P31,W31),R31)</f>
        <v>0.0235045371592382</v>
      </c>
      <c r="W31" s="28" t="n">
        <f aca="false">IF(S31="",O31,S31)</f>
        <v>0.00235045371592382</v>
      </c>
      <c r="X31" s="28" t="n">
        <f aca="false">IF(T31="",Q31,T31)</f>
        <v>0.000208159679859516</v>
      </c>
      <c r="Y31" s="20" t="str">
        <f aca="false">IF(S31="","",IF(O31&lt;S31,"Calc STRICTER (lower)","Calc more lenient (higher)"))</f>
        <v/>
      </c>
      <c r="Z31" s="20" t="str">
        <f aca="false">IF(B31="XL","Hemizygous male AF (grpmax)","grpmax FAF95; check SAS, IndiGen, GenomeIndia")</f>
        <v>grpmax FAF95; check SAS, IndiGen, GenomeIndia</v>
      </c>
      <c r="AA31" s="20"/>
      <c r="AB31" s="20"/>
    </row>
    <row r="32" customFormat="false" ht="15" hidden="false" customHeight="false" outlineLevel="0" collapsed="false">
      <c r="A32" s="19" t="s">
        <v>136</v>
      </c>
      <c r="B32" s="20" t="s">
        <v>96</v>
      </c>
      <c r="C32" s="20" t="s">
        <v>129</v>
      </c>
      <c r="D32" s="21" t="n">
        <f aca="false">SUMIF(Indian_Gene_Shares!$B$5:$B$47,A32,Indian_Gene_Shares!$G$5:$G$47)</f>
        <v>0.00502539893617021</v>
      </c>
      <c r="E32" s="9" t="n">
        <f aca="false">IFERROR(INDEX(ARIDE_Cohort!$C$6:$C$207,MATCH(A32,ARIDE_Cohort!$A$6:$A$207,0)),0)</f>
        <v>0</v>
      </c>
      <c r="F32" s="22" t="n">
        <f aca="false">MAX(Inputs!$B$24,IF(AND(Inputs!$B$29="ARIDE cohort",ARIDE_Cohort!$B$3&gt;=Inputs!$B$30),E32,D32))</f>
        <v>0.01</v>
      </c>
      <c r="G32" s="20" t="str">
        <f aca="false">IF(AND(Inputs!$B$29="ARIDE cohort",ARIDE_Cohort!$B$3&gt;=Inputs!$B$30),IF(E32&gt;Inputs!$B$24,"ARIDE cohort","Floor (ARIDE share below floor)"),IF(D32&gt;Inputs!$B$24,"Indian literature",IF(D32&gt;0,"Floor (Indian share below floor)","Floor (no Indian data)")))</f>
        <v>Floor (Indian share below floor)</v>
      </c>
      <c r="H32" s="23" t="n">
        <f aca="false">IF(B32="AR",Inputs!$B$14,IF(B32="AD",Inputs!$B$15,Inputs!$B$16))</f>
        <v>1</v>
      </c>
      <c r="I32" s="12"/>
      <c r="J32" s="24" t="n">
        <f aca="false">IF(I32="",H32,I32)</f>
        <v>1</v>
      </c>
      <c r="K32" s="12"/>
      <c r="L32" s="24" t="n">
        <f aca="false">IF(K32="",Inputs!$B$20,K32)</f>
        <v>0.5</v>
      </c>
      <c r="M32" s="25" t="n">
        <f aca="false">IF(B32="AR",SQRT(Inputs!$B$9*F32/J32),IF(B32="AD",Inputs!$B$9*F32/(2*J32),2*Inputs!$B$9*F32/J32))</f>
        <v>0.00470090743184764</v>
      </c>
      <c r="N32" s="25" t="n">
        <f aca="false">IF(B32="AR",IF(Inputs!$B$25=0,SQRT(Inputs!$B$8*F32/J32),(-Inputs!$B$25+SQRT(Inputs!$B$25^2+4*(1-Inputs!$B$25)*Inputs!$B$8*F32/J32))/(2*(1-Inputs!$B$25))),IF(B32="AD",Inputs!$B$8*F32/(2*J32),2*Inputs!$B$8*F32/J32))</f>
        <v>0.00416319359719033</v>
      </c>
      <c r="O32" s="25" t="n">
        <f aca="false">MIN(Inputs!$B$26,M32*L32)</f>
        <v>0.00235045371592382</v>
      </c>
      <c r="P32" s="25" t="n">
        <f aca="false">MIN(Inputs!$B$26,O32*Inputs!$B$19)</f>
        <v>0.0235045371592382</v>
      </c>
      <c r="Q32" s="25" t="n">
        <f aca="false">MIN(O32,N32*Inputs!$B$21)</f>
        <v>0.000208159679859516</v>
      </c>
      <c r="R32" s="26"/>
      <c r="S32" s="26"/>
      <c r="T32" s="26"/>
      <c r="U32" s="20" t="str">
        <f aca="false">IF(COUNT(R32:T32)&gt;0,"Published spec (+calc where blank)","Calculated (this workbook)")</f>
        <v>Calculated (this workbook)</v>
      </c>
      <c r="V32" s="28" t="n">
        <f aca="false">IF(R32="",MAX(P32,W32),R32)</f>
        <v>0.0235045371592382</v>
      </c>
      <c r="W32" s="28" t="n">
        <f aca="false">IF(S32="",O32,S32)</f>
        <v>0.00235045371592382</v>
      </c>
      <c r="X32" s="28" t="n">
        <f aca="false">IF(T32="",Q32,T32)</f>
        <v>0.000208159679859516</v>
      </c>
      <c r="Y32" s="20" t="str">
        <f aca="false">IF(S32="","",IF(O32&lt;S32,"Calc STRICTER (lower)","Calc more lenient (higher)"))</f>
        <v/>
      </c>
      <c r="Z32" s="20" t="str">
        <f aca="false">IF(B32="XL","Hemizygous male AF (grpmax)","grpmax FAF95; check SAS, IndiGen, GenomeIndia")</f>
        <v>grpmax FAF95; check SAS, IndiGen, GenomeIndia</v>
      </c>
      <c r="AA32" s="20"/>
      <c r="AB32" s="20"/>
    </row>
    <row r="33" customFormat="false" ht="15" hidden="false" customHeight="false" outlineLevel="0" collapsed="false">
      <c r="A33" s="19" t="s">
        <v>137</v>
      </c>
      <c r="B33" s="20" t="s">
        <v>96</v>
      </c>
      <c r="C33" s="20" t="s">
        <v>129</v>
      </c>
      <c r="D33" s="21" t="n">
        <f aca="false">SUMIF(Indian_Gene_Shares!$B$5:$B$47,A33,Indian_Gene_Shares!$G$5:$G$47)</f>
        <v>0</v>
      </c>
      <c r="E33" s="9" t="n">
        <f aca="false">IFERROR(INDEX(ARIDE_Cohort!$C$6:$C$207,MATCH(A33,ARIDE_Cohort!$A$6:$A$207,0)),0)</f>
        <v>0</v>
      </c>
      <c r="F33" s="22" t="n">
        <f aca="false">MAX(Inputs!$B$24,IF(AND(Inputs!$B$29="ARIDE cohort",ARIDE_Cohort!$B$3&gt;=Inputs!$B$30),E33,D33))</f>
        <v>0.01</v>
      </c>
      <c r="G33" s="20" t="str">
        <f aca="false">IF(AND(Inputs!$B$29="ARIDE cohort",ARIDE_Cohort!$B$3&gt;=Inputs!$B$30),IF(E33&gt;Inputs!$B$24,"ARIDE cohort","Floor (ARIDE share below floor)"),IF(D33&gt;Inputs!$B$24,"Indian literature",IF(D33&gt;0,"Floor (Indian share below floor)","Floor (no Indian data)")))</f>
        <v>Floor (no Indian data)</v>
      </c>
      <c r="H33" s="23" t="n">
        <f aca="false">IF(B33="AR",Inputs!$B$14,IF(B33="AD",Inputs!$B$15,Inputs!$B$16))</f>
        <v>1</v>
      </c>
      <c r="I33" s="12"/>
      <c r="J33" s="24" t="n">
        <f aca="false">IF(I33="",H33,I33)</f>
        <v>1</v>
      </c>
      <c r="K33" s="12"/>
      <c r="L33" s="24" t="n">
        <f aca="false">IF(K33="",Inputs!$B$20,K33)</f>
        <v>0.5</v>
      </c>
      <c r="M33" s="25" t="n">
        <f aca="false">IF(B33="AR",SQRT(Inputs!$B$9*F33/J33),IF(B33="AD",Inputs!$B$9*F33/(2*J33),2*Inputs!$B$9*F33/J33))</f>
        <v>0.00470090743184764</v>
      </c>
      <c r="N33" s="25" t="n">
        <f aca="false">IF(B33="AR",IF(Inputs!$B$25=0,SQRT(Inputs!$B$8*F33/J33),(-Inputs!$B$25+SQRT(Inputs!$B$25^2+4*(1-Inputs!$B$25)*Inputs!$B$8*F33/J33))/(2*(1-Inputs!$B$25))),IF(B33="AD",Inputs!$B$8*F33/(2*J33),2*Inputs!$B$8*F33/J33))</f>
        <v>0.00416319359719033</v>
      </c>
      <c r="O33" s="25" t="n">
        <f aca="false">MIN(Inputs!$B$26,M33*L33)</f>
        <v>0.00235045371592382</v>
      </c>
      <c r="P33" s="25" t="n">
        <f aca="false">MIN(Inputs!$B$26,O33*Inputs!$B$19)</f>
        <v>0.0235045371592382</v>
      </c>
      <c r="Q33" s="25" t="n">
        <f aca="false">MIN(O33,N33*Inputs!$B$21)</f>
        <v>0.000208159679859516</v>
      </c>
      <c r="R33" s="26"/>
      <c r="S33" s="26"/>
      <c r="T33" s="26"/>
      <c r="U33" s="20" t="str">
        <f aca="false">IF(COUNT(R33:T33)&gt;0,"Published spec (+calc where blank)","Calculated (this workbook)")</f>
        <v>Calculated (this workbook)</v>
      </c>
      <c r="V33" s="28" t="n">
        <f aca="false">IF(R33="",MAX(P33,W33),R33)</f>
        <v>0.0235045371592382</v>
      </c>
      <c r="W33" s="28" t="n">
        <f aca="false">IF(S33="",O33,S33)</f>
        <v>0.00235045371592382</v>
      </c>
      <c r="X33" s="28" t="n">
        <f aca="false">IF(T33="",Q33,T33)</f>
        <v>0.000208159679859516</v>
      </c>
      <c r="Y33" s="20" t="str">
        <f aca="false">IF(S33="","",IF(O33&lt;S33,"Calc STRICTER (lower)","Calc more lenient (higher)"))</f>
        <v/>
      </c>
      <c r="Z33" s="20" t="str">
        <f aca="false">IF(B33="XL","Hemizygous male AF (grpmax)","grpmax FAF95; check SAS, IndiGen, GenomeIndia")</f>
        <v>grpmax FAF95; check SAS, IndiGen, GenomeIndia</v>
      </c>
      <c r="AA33" s="20"/>
      <c r="AB33" s="20"/>
    </row>
    <row r="34" customFormat="false" ht="15" hidden="false" customHeight="false" outlineLevel="0" collapsed="false">
      <c r="A34" s="19" t="s">
        <v>138</v>
      </c>
      <c r="B34" s="20" t="s">
        <v>109</v>
      </c>
      <c r="C34" s="20" t="s">
        <v>139</v>
      </c>
      <c r="D34" s="21" t="n">
        <f aca="false">SUMIF(Indian_Gene_Shares!$B$5:$B$47,A34,Indian_Gene_Shares!$G$5:$G$47)</f>
        <v>0</v>
      </c>
      <c r="E34" s="9" t="n">
        <f aca="false">IFERROR(INDEX(ARIDE_Cohort!$C$6:$C$207,MATCH(A34,ARIDE_Cohort!$A$6:$A$207,0)),0)</f>
        <v>0</v>
      </c>
      <c r="F34" s="22" t="n">
        <f aca="false">MAX(Inputs!$B$24,IF(AND(Inputs!$B$29="ARIDE cohort",ARIDE_Cohort!$B$3&gt;=Inputs!$B$30),E34,D34))</f>
        <v>0.01</v>
      </c>
      <c r="G34" s="20" t="str">
        <f aca="false">IF(AND(Inputs!$B$29="ARIDE cohort",ARIDE_Cohort!$B$3&gt;=Inputs!$B$30),IF(E34&gt;Inputs!$B$24,"ARIDE cohort","Floor (ARIDE share below floor)"),IF(D34&gt;Inputs!$B$24,"Indian literature",IF(D34&gt;0,"Floor (Indian share below floor)","Floor (no Indian data)")))</f>
        <v>Floor (no Indian data)</v>
      </c>
      <c r="H34" s="23" t="n">
        <f aca="false">IF(B34="AR",Inputs!$B$14,IF(B34="AD",Inputs!$B$15,Inputs!$B$16))</f>
        <v>0.5</v>
      </c>
      <c r="I34" s="12"/>
      <c r="J34" s="24" t="n">
        <f aca="false">IF(I34="",H34,I34)</f>
        <v>0.5</v>
      </c>
      <c r="K34" s="12"/>
      <c r="L34" s="24" t="n">
        <f aca="false">IF(K34="",Inputs!$B$20,K34)</f>
        <v>0.5</v>
      </c>
      <c r="M34" s="25" t="n">
        <f aca="false">IF(B34="AR",SQRT(Inputs!$B$9*F34/J34),IF(B34="AD",Inputs!$B$9*F34/(2*J34),2*Inputs!$B$9*F34/J34))</f>
        <v>2.20985306828003E-005</v>
      </c>
      <c r="N34" s="25" t="n">
        <f aca="false">IF(B34="AR",IF(Inputs!$B$25=0,SQRT(Inputs!$B$8*F34/J34),(-Inputs!$B$25+SQRT(Inputs!$B$25^2+4*(1-Inputs!$B$25)*Inputs!$B$8*F34/J34))/(2*(1-Inputs!$B$25))),IF(B34="AD",Inputs!$B$8*F34/(2*J34),2*Inputs!$B$8*F34/J34))</f>
        <v>1.73321809276865E-005</v>
      </c>
      <c r="O34" s="25" t="n">
        <f aca="false">MIN(Inputs!$B$26,M34*L34)</f>
        <v>1.10492653414002E-005</v>
      </c>
      <c r="P34" s="25" t="n">
        <f aca="false">MIN(Inputs!$B$26,O34*Inputs!$B$19)</f>
        <v>0.000110492653414002</v>
      </c>
      <c r="Q34" s="25" t="n">
        <f aca="false">MIN(O34,N34*Inputs!$B$21)</f>
        <v>8.66609046384327E-007</v>
      </c>
      <c r="R34" s="26"/>
      <c r="S34" s="26"/>
      <c r="T34" s="26"/>
      <c r="U34" s="20" t="str">
        <f aca="false">IF(COUNT(R34:T34)&gt;0,"Published spec (+calc where blank)","Calculated (this workbook)")</f>
        <v>Calculated (this workbook)</v>
      </c>
      <c r="V34" s="28" t="n">
        <f aca="false">IF(R34="",MAX(P34,W34),R34)</f>
        <v>0.000110492653414002</v>
      </c>
      <c r="W34" s="28" t="n">
        <f aca="false">IF(S34="",O34,S34)</f>
        <v>1.10492653414002E-005</v>
      </c>
      <c r="X34" s="28" t="n">
        <f aca="false">IF(T34="",Q34,T34)</f>
        <v>8.66609046384327E-007</v>
      </c>
      <c r="Y34" s="20" t="str">
        <f aca="false">IF(S34="","",IF(O34&lt;S34,"Calc STRICTER (lower)","Calc more lenient (higher)"))</f>
        <v/>
      </c>
      <c r="Z34" s="20" t="str">
        <f aca="false">IF(B34="XL","Hemizygous male AF (grpmax)","grpmax FAF95; check SAS, IndiGen, GenomeIndia")</f>
        <v>grpmax FAF95; check SAS, IndiGen, GenomeIndia</v>
      </c>
      <c r="AA34" s="20"/>
      <c r="AB34" s="20"/>
    </row>
    <row r="35" customFormat="false" ht="15" hidden="false" customHeight="false" outlineLevel="0" collapsed="false">
      <c r="A35" s="19" t="s">
        <v>138</v>
      </c>
      <c r="B35" s="20" t="s">
        <v>96</v>
      </c>
      <c r="C35" s="20" t="s">
        <v>140</v>
      </c>
      <c r="D35" s="21" t="n">
        <f aca="false">SUMIF(Indian_Gene_Shares!$B$5:$B$47,A35,Indian_Gene_Shares!$G$5:$G$47)</f>
        <v>0</v>
      </c>
      <c r="E35" s="9" t="n">
        <f aca="false">IFERROR(INDEX(ARIDE_Cohort!$C$6:$C$207,MATCH(A35,ARIDE_Cohort!$A$6:$A$207,0)),0)</f>
        <v>0</v>
      </c>
      <c r="F35" s="22" t="n">
        <f aca="false">MAX(Inputs!$B$24,IF(AND(Inputs!$B$29="ARIDE cohort",ARIDE_Cohort!$B$3&gt;=Inputs!$B$30),E35,D35))</f>
        <v>0.01</v>
      </c>
      <c r="G35" s="20" t="str">
        <f aca="false">IF(AND(Inputs!$B$29="ARIDE cohort",ARIDE_Cohort!$B$3&gt;=Inputs!$B$30),IF(E35&gt;Inputs!$B$24,"ARIDE cohort","Floor (ARIDE share below floor)"),IF(D35&gt;Inputs!$B$24,"Indian literature",IF(D35&gt;0,"Floor (Indian share below floor)","Floor (no Indian data)")))</f>
        <v>Floor (no Indian data)</v>
      </c>
      <c r="H35" s="23" t="n">
        <f aca="false">IF(B35="AR",Inputs!$B$14,IF(B35="AD",Inputs!$B$15,Inputs!$B$16))</f>
        <v>1</v>
      </c>
      <c r="I35" s="12"/>
      <c r="J35" s="24" t="n">
        <f aca="false">IF(I35="",H35,I35)</f>
        <v>1</v>
      </c>
      <c r="K35" s="12"/>
      <c r="L35" s="24" t="n">
        <f aca="false">IF(K35="",Inputs!$B$20,K35)</f>
        <v>0.5</v>
      </c>
      <c r="M35" s="25" t="n">
        <f aca="false">IF(B35="AR",SQRT(Inputs!$B$9*F35/J35),IF(B35="AD",Inputs!$B$9*F35/(2*J35),2*Inputs!$B$9*F35/J35))</f>
        <v>0.00470090743184764</v>
      </c>
      <c r="N35" s="25" t="n">
        <f aca="false">IF(B35="AR",IF(Inputs!$B$25=0,SQRT(Inputs!$B$8*F35/J35),(-Inputs!$B$25+SQRT(Inputs!$B$25^2+4*(1-Inputs!$B$25)*Inputs!$B$8*F35/J35))/(2*(1-Inputs!$B$25))),IF(B35="AD",Inputs!$B$8*F35/(2*J35),2*Inputs!$B$8*F35/J35))</f>
        <v>0.00416319359719033</v>
      </c>
      <c r="O35" s="25" t="n">
        <f aca="false">MIN(Inputs!$B$26,M35*L35)</f>
        <v>0.00235045371592382</v>
      </c>
      <c r="P35" s="25" t="n">
        <f aca="false">MIN(Inputs!$B$26,O35*Inputs!$B$19)</f>
        <v>0.0235045371592382</v>
      </c>
      <c r="Q35" s="25" t="n">
        <f aca="false">MIN(O35,N35*Inputs!$B$21)</f>
        <v>0.000208159679859516</v>
      </c>
      <c r="R35" s="26"/>
      <c r="S35" s="26"/>
      <c r="T35" s="26"/>
      <c r="U35" s="20" t="str">
        <f aca="false">IF(COUNT(R35:T35)&gt;0,"Published spec (+calc where blank)","Calculated (this workbook)")</f>
        <v>Calculated (this workbook)</v>
      </c>
      <c r="V35" s="28" t="n">
        <f aca="false">IF(R35="",MAX(P35,W35),R35)</f>
        <v>0.0235045371592382</v>
      </c>
      <c r="W35" s="28" t="n">
        <f aca="false">IF(S35="",O35,S35)</f>
        <v>0.00235045371592382</v>
      </c>
      <c r="X35" s="28" t="n">
        <f aca="false">IF(T35="",Q35,T35)</f>
        <v>0.000208159679859516</v>
      </c>
      <c r="Y35" s="20" t="str">
        <f aca="false">IF(S35="","",IF(O35&lt;S35,"Calc STRICTER (lower)","Calc more lenient (higher)"))</f>
        <v/>
      </c>
      <c r="Z35" s="20" t="str">
        <f aca="false">IF(B35="XL","Hemizygous male AF (grpmax)","grpmax FAF95; check SAS, IndiGen, GenomeIndia")</f>
        <v>grpmax FAF95; check SAS, IndiGen, GenomeIndia</v>
      </c>
      <c r="AA35" s="20"/>
      <c r="AB35" s="20"/>
    </row>
    <row r="36" customFormat="false" ht="15" hidden="false" customHeight="false" outlineLevel="0" collapsed="false">
      <c r="A36" s="19" t="s">
        <v>141</v>
      </c>
      <c r="B36" s="20" t="s">
        <v>109</v>
      </c>
      <c r="C36" s="20" t="s">
        <v>142</v>
      </c>
      <c r="D36" s="21" t="n">
        <f aca="false">SUMIF(Indian_Gene_Shares!$B$5:$B$47,A36,Indian_Gene_Shares!$G$5:$G$47)</f>
        <v>0</v>
      </c>
      <c r="E36" s="9" t="n">
        <f aca="false">IFERROR(INDEX(ARIDE_Cohort!$C$6:$C$207,MATCH(A36,ARIDE_Cohort!$A$6:$A$207,0)),0)</f>
        <v>0</v>
      </c>
      <c r="F36" s="22" t="n">
        <f aca="false">MAX(Inputs!$B$24,IF(AND(Inputs!$B$29="ARIDE cohort",ARIDE_Cohort!$B$3&gt;=Inputs!$B$30),E36,D36))</f>
        <v>0.01</v>
      </c>
      <c r="G36" s="20" t="str">
        <f aca="false">IF(AND(Inputs!$B$29="ARIDE cohort",ARIDE_Cohort!$B$3&gt;=Inputs!$B$30),IF(E36&gt;Inputs!$B$24,"ARIDE cohort","Floor (ARIDE share below floor)"),IF(D36&gt;Inputs!$B$24,"Indian literature",IF(D36&gt;0,"Floor (Indian share below floor)","Floor (no Indian data)")))</f>
        <v>Floor (no Indian data)</v>
      </c>
      <c r="H36" s="23" t="n">
        <f aca="false">IF(B36="AR",Inputs!$B$14,IF(B36="AD",Inputs!$B$15,Inputs!$B$16))</f>
        <v>0.5</v>
      </c>
      <c r="I36" s="12"/>
      <c r="J36" s="24" t="n">
        <f aca="false">IF(I36="",H36,I36)</f>
        <v>0.5</v>
      </c>
      <c r="K36" s="12"/>
      <c r="L36" s="24" t="n">
        <f aca="false">IF(K36="",Inputs!$B$20,K36)</f>
        <v>0.5</v>
      </c>
      <c r="M36" s="25" t="n">
        <f aca="false">IF(B36="AR",SQRT(Inputs!$B$9*F36/J36),IF(B36="AD",Inputs!$B$9*F36/(2*J36),2*Inputs!$B$9*F36/J36))</f>
        <v>2.20985306828003E-005</v>
      </c>
      <c r="N36" s="25" t="n">
        <f aca="false">IF(B36="AR",IF(Inputs!$B$25=0,SQRT(Inputs!$B$8*F36/J36),(-Inputs!$B$25+SQRT(Inputs!$B$25^2+4*(1-Inputs!$B$25)*Inputs!$B$8*F36/J36))/(2*(1-Inputs!$B$25))),IF(B36="AD",Inputs!$B$8*F36/(2*J36),2*Inputs!$B$8*F36/J36))</f>
        <v>1.73321809276865E-005</v>
      </c>
      <c r="O36" s="25" t="n">
        <f aca="false">MIN(Inputs!$B$26,M36*L36)</f>
        <v>1.10492653414002E-005</v>
      </c>
      <c r="P36" s="25" t="n">
        <f aca="false">MIN(Inputs!$B$26,O36*Inputs!$B$19)</f>
        <v>0.000110492653414002</v>
      </c>
      <c r="Q36" s="25" t="n">
        <f aca="false">MIN(O36,N36*Inputs!$B$21)</f>
        <v>8.66609046384327E-007</v>
      </c>
      <c r="R36" s="26"/>
      <c r="S36" s="26"/>
      <c r="T36" s="26"/>
      <c r="U36" s="20" t="str">
        <f aca="false">IF(COUNT(R36:T36)&gt;0,"Published spec (+calc where blank)","Calculated (this workbook)")</f>
        <v>Calculated (this workbook)</v>
      </c>
      <c r="V36" s="28" t="n">
        <f aca="false">IF(R36="",MAX(P36,W36),R36)</f>
        <v>0.000110492653414002</v>
      </c>
      <c r="W36" s="28" t="n">
        <f aca="false">IF(S36="",O36,S36)</f>
        <v>1.10492653414002E-005</v>
      </c>
      <c r="X36" s="28" t="n">
        <f aca="false">IF(T36="",Q36,T36)</f>
        <v>8.66609046384327E-007</v>
      </c>
      <c r="Y36" s="20" t="str">
        <f aca="false">IF(S36="","",IF(O36&lt;S36,"Calc STRICTER (lower)","Calc more lenient (higher)"))</f>
        <v/>
      </c>
      <c r="Z36" s="20" t="str">
        <f aca="false">IF(B36="XL","Hemizygous male AF (grpmax)","grpmax FAF95; check SAS, IndiGen, GenomeIndia")</f>
        <v>grpmax FAF95; check SAS, IndiGen, GenomeIndia</v>
      </c>
      <c r="AA36" s="20"/>
      <c r="AB36" s="20"/>
    </row>
    <row r="37" customFormat="false" ht="15" hidden="false" customHeight="false" outlineLevel="0" collapsed="false">
      <c r="A37" s="19" t="s">
        <v>143</v>
      </c>
      <c r="B37" s="20" t="s">
        <v>96</v>
      </c>
      <c r="C37" s="20" t="s">
        <v>144</v>
      </c>
      <c r="D37" s="21" t="n">
        <f aca="false">SUMIF(Indian_Gene_Shares!$B$5:$B$47,A37,Indian_Gene_Shares!$G$5:$G$47)</f>
        <v>0</v>
      </c>
      <c r="E37" s="9" t="n">
        <f aca="false">IFERROR(INDEX(ARIDE_Cohort!$C$6:$C$207,MATCH(A37,ARIDE_Cohort!$A$6:$A$207,0)),0)</f>
        <v>0</v>
      </c>
      <c r="F37" s="22" t="n">
        <f aca="false">MAX(Inputs!$B$24,IF(AND(Inputs!$B$29="ARIDE cohort",ARIDE_Cohort!$B$3&gt;=Inputs!$B$30),E37,D37))</f>
        <v>0.01</v>
      </c>
      <c r="G37" s="20" t="str">
        <f aca="false">IF(AND(Inputs!$B$29="ARIDE cohort",ARIDE_Cohort!$B$3&gt;=Inputs!$B$30),IF(E37&gt;Inputs!$B$24,"ARIDE cohort","Floor (ARIDE share below floor)"),IF(D37&gt;Inputs!$B$24,"Indian literature",IF(D37&gt;0,"Floor (Indian share below floor)","Floor (no Indian data)")))</f>
        <v>Floor (no Indian data)</v>
      </c>
      <c r="H37" s="23" t="n">
        <f aca="false">IF(B37="AR",Inputs!$B$14,IF(B37="AD",Inputs!$B$15,Inputs!$B$16))</f>
        <v>1</v>
      </c>
      <c r="I37" s="12"/>
      <c r="J37" s="24" t="n">
        <f aca="false">IF(I37="",H37,I37)</f>
        <v>1</v>
      </c>
      <c r="K37" s="12"/>
      <c r="L37" s="24" t="n">
        <f aca="false">IF(K37="",Inputs!$B$20,K37)</f>
        <v>0.5</v>
      </c>
      <c r="M37" s="25" t="n">
        <f aca="false">IF(B37="AR",SQRT(Inputs!$B$9*F37/J37),IF(B37="AD",Inputs!$B$9*F37/(2*J37),2*Inputs!$B$9*F37/J37))</f>
        <v>0.00470090743184764</v>
      </c>
      <c r="N37" s="25" t="n">
        <f aca="false">IF(B37="AR",IF(Inputs!$B$25=0,SQRT(Inputs!$B$8*F37/J37),(-Inputs!$B$25+SQRT(Inputs!$B$25^2+4*(1-Inputs!$B$25)*Inputs!$B$8*F37/J37))/(2*(1-Inputs!$B$25))),IF(B37="AD",Inputs!$B$8*F37/(2*J37),2*Inputs!$B$8*F37/J37))</f>
        <v>0.00416319359719033</v>
      </c>
      <c r="O37" s="25" t="n">
        <f aca="false">MIN(Inputs!$B$26,M37*L37)</f>
        <v>0.00235045371592382</v>
      </c>
      <c r="P37" s="25" t="n">
        <f aca="false">MIN(Inputs!$B$26,O37*Inputs!$B$19)</f>
        <v>0.0235045371592382</v>
      </c>
      <c r="Q37" s="25" t="n">
        <f aca="false">MIN(O37,N37*Inputs!$B$21)</f>
        <v>0.000208159679859516</v>
      </c>
      <c r="R37" s="26"/>
      <c r="S37" s="26"/>
      <c r="T37" s="26"/>
      <c r="U37" s="20" t="str">
        <f aca="false">IF(COUNT(R37:T37)&gt;0,"Published spec (+calc where blank)","Calculated (this workbook)")</f>
        <v>Calculated (this workbook)</v>
      </c>
      <c r="V37" s="28" t="n">
        <f aca="false">IF(R37="",MAX(P37,W37),R37)</f>
        <v>0.0235045371592382</v>
      </c>
      <c r="W37" s="28" t="n">
        <f aca="false">IF(S37="",O37,S37)</f>
        <v>0.00235045371592382</v>
      </c>
      <c r="X37" s="28" t="n">
        <f aca="false">IF(T37="",Q37,T37)</f>
        <v>0.000208159679859516</v>
      </c>
      <c r="Y37" s="20" t="str">
        <f aca="false">IF(S37="","",IF(O37&lt;S37,"Calc STRICTER (lower)","Calc more lenient (higher)"))</f>
        <v/>
      </c>
      <c r="Z37" s="20" t="str">
        <f aca="false">IF(B37="XL","Hemizygous male AF (grpmax)","grpmax FAF95; check SAS, IndiGen, GenomeIndia")</f>
        <v>grpmax FAF95; check SAS, IndiGen, GenomeIndia</v>
      </c>
      <c r="AA37" s="20"/>
      <c r="AB37" s="20"/>
    </row>
    <row r="38" customFormat="false" ht="15" hidden="false" customHeight="false" outlineLevel="0" collapsed="false">
      <c r="A38" s="19" t="s">
        <v>145</v>
      </c>
      <c r="B38" s="20" t="s">
        <v>109</v>
      </c>
      <c r="C38" s="20" t="s">
        <v>105</v>
      </c>
      <c r="D38" s="21" t="n">
        <f aca="false">SUMIF(Indian_Gene_Shares!$B$5:$B$47,A38,Indian_Gene_Shares!$G$5:$G$47)</f>
        <v>0</v>
      </c>
      <c r="E38" s="9" t="n">
        <f aca="false">IFERROR(INDEX(ARIDE_Cohort!$C$6:$C$207,MATCH(A38,ARIDE_Cohort!$A$6:$A$207,0)),0)</f>
        <v>0</v>
      </c>
      <c r="F38" s="22" t="n">
        <f aca="false">MAX(Inputs!$B$24,IF(AND(Inputs!$B$29="ARIDE cohort",ARIDE_Cohort!$B$3&gt;=Inputs!$B$30),E38,D38))</f>
        <v>0.01</v>
      </c>
      <c r="G38" s="20" t="str">
        <f aca="false">IF(AND(Inputs!$B$29="ARIDE cohort",ARIDE_Cohort!$B$3&gt;=Inputs!$B$30),IF(E38&gt;Inputs!$B$24,"ARIDE cohort","Floor (ARIDE share below floor)"),IF(D38&gt;Inputs!$B$24,"Indian literature",IF(D38&gt;0,"Floor (Indian share below floor)","Floor (no Indian data)")))</f>
        <v>Floor (no Indian data)</v>
      </c>
      <c r="H38" s="23" t="n">
        <f aca="false">IF(B38="AR",Inputs!$B$14,IF(B38="AD",Inputs!$B$15,Inputs!$B$16))</f>
        <v>0.5</v>
      </c>
      <c r="I38" s="12"/>
      <c r="J38" s="24" t="n">
        <f aca="false">IF(I38="",H38,I38)</f>
        <v>0.5</v>
      </c>
      <c r="K38" s="12"/>
      <c r="L38" s="24" t="n">
        <f aca="false">IF(K38="",Inputs!$B$20,K38)</f>
        <v>0.5</v>
      </c>
      <c r="M38" s="25" t="n">
        <f aca="false">IF(B38="AR",SQRT(Inputs!$B$9*F38/J38),IF(B38="AD",Inputs!$B$9*F38/(2*J38),2*Inputs!$B$9*F38/J38))</f>
        <v>2.20985306828003E-005</v>
      </c>
      <c r="N38" s="25" t="n">
        <f aca="false">IF(B38="AR",IF(Inputs!$B$25=0,SQRT(Inputs!$B$8*F38/J38),(-Inputs!$B$25+SQRT(Inputs!$B$25^2+4*(1-Inputs!$B$25)*Inputs!$B$8*F38/J38))/(2*(1-Inputs!$B$25))),IF(B38="AD",Inputs!$B$8*F38/(2*J38),2*Inputs!$B$8*F38/J38))</f>
        <v>1.73321809276865E-005</v>
      </c>
      <c r="O38" s="25" t="n">
        <f aca="false">MIN(Inputs!$B$26,M38*L38)</f>
        <v>1.10492653414002E-005</v>
      </c>
      <c r="P38" s="25" t="n">
        <f aca="false">MIN(Inputs!$B$26,O38*Inputs!$B$19)</f>
        <v>0.000110492653414002</v>
      </c>
      <c r="Q38" s="25" t="n">
        <f aca="false">MIN(O38,N38*Inputs!$B$21)</f>
        <v>8.66609046384327E-007</v>
      </c>
      <c r="R38" s="26"/>
      <c r="S38" s="26"/>
      <c r="T38" s="26"/>
      <c r="U38" s="20" t="str">
        <f aca="false">IF(COUNT(R38:T38)&gt;0,"Published spec (+calc where blank)","Calculated (this workbook)")</f>
        <v>Calculated (this workbook)</v>
      </c>
      <c r="V38" s="28" t="n">
        <f aca="false">IF(R38="",MAX(P38,W38),R38)</f>
        <v>0.000110492653414002</v>
      </c>
      <c r="W38" s="28" t="n">
        <f aca="false">IF(S38="",O38,S38)</f>
        <v>1.10492653414002E-005</v>
      </c>
      <c r="X38" s="28" t="n">
        <f aca="false">IF(T38="",Q38,T38)</f>
        <v>8.66609046384327E-007</v>
      </c>
      <c r="Y38" s="20" t="str">
        <f aca="false">IF(S38="","",IF(O38&lt;S38,"Calc STRICTER (lower)","Calc more lenient (higher)"))</f>
        <v/>
      </c>
      <c r="Z38" s="20" t="str">
        <f aca="false">IF(B38="XL","Hemizygous male AF (grpmax)","grpmax FAF95; check SAS, IndiGen, GenomeIndia")</f>
        <v>grpmax FAF95; check SAS, IndiGen, GenomeIndia</v>
      </c>
      <c r="AA38" s="20"/>
      <c r="AB38" s="20"/>
    </row>
    <row r="39" customFormat="false" ht="15" hidden="false" customHeight="false" outlineLevel="0" collapsed="false">
      <c r="A39" s="19" t="s">
        <v>146</v>
      </c>
      <c r="B39" s="20" t="s">
        <v>96</v>
      </c>
      <c r="C39" s="20" t="s">
        <v>147</v>
      </c>
      <c r="D39" s="21" t="n">
        <f aca="false">SUMIF(Indian_Gene_Shares!$B$5:$B$47,A39,Indian_Gene_Shares!$G$5:$G$47)</f>
        <v>0</v>
      </c>
      <c r="E39" s="9" t="n">
        <f aca="false">IFERROR(INDEX(ARIDE_Cohort!$C$6:$C$207,MATCH(A39,ARIDE_Cohort!$A$6:$A$207,0)),0)</f>
        <v>0</v>
      </c>
      <c r="F39" s="22" t="n">
        <f aca="false">MAX(Inputs!$B$24,IF(AND(Inputs!$B$29="ARIDE cohort",ARIDE_Cohort!$B$3&gt;=Inputs!$B$30),E39,D39))</f>
        <v>0.01</v>
      </c>
      <c r="G39" s="20" t="str">
        <f aca="false">IF(AND(Inputs!$B$29="ARIDE cohort",ARIDE_Cohort!$B$3&gt;=Inputs!$B$30),IF(E39&gt;Inputs!$B$24,"ARIDE cohort","Floor (ARIDE share below floor)"),IF(D39&gt;Inputs!$B$24,"Indian literature",IF(D39&gt;0,"Floor (Indian share below floor)","Floor (no Indian data)")))</f>
        <v>Floor (no Indian data)</v>
      </c>
      <c r="H39" s="23" t="n">
        <f aca="false">IF(B39="AR",Inputs!$B$14,IF(B39="AD",Inputs!$B$15,Inputs!$B$16))</f>
        <v>1</v>
      </c>
      <c r="I39" s="12"/>
      <c r="J39" s="24" t="n">
        <f aca="false">IF(I39="",H39,I39)</f>
        <v>1</v>
      </c>
      <c r="K39" s="12"/>
      <c r="L39" s="24" t="n">
        <f aca="false">IF(K39="",Inputs!$B$20,K39)</f>
        <v>0.5</v>
      </c>
      <c r="M39" s="25" t="n">
        <f aca="false">IF(B39="AR",SQRT(Inputs!$B$9*F39/J39),IF(B39="AD",Inputs!$B$9*F39/(2*J39),2*Inputs!$B$9*F39/J39))</f>
        <v>0.00470090743184764</v>
      </c>
      <c r="N39" s="25" t="n">
        <f aca="false">IF(B39="AR",IF(Inputs!$B$25=0,SQRT(Inputs!$B$8*F39/J39),(-Inputs!$B$25+SQRT(Inputs!$B$25^2+4*(1-Inputs!$B$25)*Inputs!$B$8*F39/J39))/(2*(1-Inputs!$B$25))),IF(B39="AD",Inputs!$B$8*F39/(2*J39),2*Inputs!$B$8*F39/J39))</f>
        <v>0.00416319359719033</v>
      </c>
      <c r="O39" s="25" t="n">
        <f aca="false">MIN(Inputs!$B$26,M39*L39)</f>
        <v>0.00235045371592382</v>
      </c>
      <c r="P39" s="25" t="n">
        <f aca="false">MIN(Inputs!$B$26,O39*Inputs!$B$19)</f>
        <v>0.0235045371592382</v>
      </c>
      <c r="Q39" s="25" t="n">
        <f aca="false">MIN(O39,N39*Inputs!$B$21)</f>
        <v>0.000208159679859516</v>
      </c>
      <c r="R39" s="26"/>
      <c r="S39" s="26"/>
      <c r="T39" s="26"/>
      <c r="U39" s="20" t="str">
        <f aca="false">IF(COUNT(R39:T39)&gt;0,"Published spec (+calc where blank)","Calculated (this workbook)")</f>
        <v>Calculated (this workbook)</v>
      </c>
      <c r="V39" s="28" t="n">
        <f aca="false">IF(R39="",MAX(P39,W39),R39)</f>
        <v>0.0235045371592382</v>
      </c>
      <c r="W39" s="28" t="n">
        <f aca="false">IF(S39="",O39,S39)</f>
        <v>0.00235045371592382</v>
      </c>
      <c r="X39" s="28" t="n">
        <f aca="false">IF(T39="",Q39,T39)</f>
        <v>0.000208159679859516</v>
      </c>
      <c r="Y39" s="20" t="str">
        <f aca="false">IF(S39="","",IF(O39&lt;S39,"Calc STRICTER (lower)","Calc more lenient (higher)"))</f>
        <v/>
      </c>
      <c r="Z39" s="20" t="str">
        <f aca="false">IF(B39="XL","Hemizygous male AF (grpmax)","grpmax FAF95; check SAS, IndiGen, GenomeIndia")</f>
        <v>grpmax FAF95; check SAS, IndiGen, GenomeIndia</v>
      </c>
      <c r="AA39" s="20"/>
      <c r="AB39" s="20"/>
    </row>
    <row r="40" customFormat="false" ht="15" hidden="false" customHeight="false" outlineLevel="0" collapsed="false">
      <c r="A40" s="19" t="s">
        <v>148</v>
      </c>
      <c r="B40" s="20" t="s">
        <v>149</v>
      </c>
      <c r="C40" s="20" t="s">
        <v>150</v>
      </c>
      <c r="D40" s="21" t="n">
        <f aca="false">SUMIF(Indian_Gene_Shares!$B$5:$B$47,A40,Indian_Gene_Shares!$G$5:$G$47)</f>
        <v>0</v>
      </c>
      <c r="E40" s="9" t="n">
        <f aca="false">IFERROR(INDEX(ARIDE_Cohort!$C$6:$C$207,MATCH(A40,ARIDE_Cohort!$A$6:$A$207,0)),0)</f>
        <v>0</v>
      </c>
      <c r="F40" s="22" t="n">
        <f aca="false">MAX(Inputs!$B$24,IF(AND(Inputs!$B$29="ARIDE cohort",ARIDE_Cohort!$B$3&gt;=Inputs!$B$30),E40,D40))</f>
        <v>0.01</v>
      </c>
      <c r="G40" s="20" t="str">
        <f aca="false">IF(AND(Inputs!$B$29="ARIDE cohort",ARIDE_Cohort!$B$3&gt;=Inputs!$B$30),IF(E40&gt;Inputs!$B$24,"ARIDE cohort","Floor (ARIDE share below floor)"),IF(D40&gt;Inputs!$B$24,"Indian literature",IF(D40&gt;0,"Floor (Indian share below floor)","Floor (no Indian data)")))</f>
        <v>Floor (no Indian data)</v>
      </c>
      <c r="H40" s="23" t="n">
        <f aca="false">IF(B40="AR",Inputs!$B$14,IF(B40="AD",Inputs!$B$15,Inputs!$B$16))</f>
        <v>1</v>
      </c>
      <c r="I40" s="12"/>
      <c r="J40" s="24" t="n">
        <f aca="false">IF(I40="",H40,I40)</f>
        <v>1</v>
      </c>
      <c r="K40" s="12"/>
      <c r="L40" s="24" t="n">
        <f aca="false">IF(K40="",Inputs!$B$20,K40)</f>
        <v>0.5</v>
      </c>
      <c r="M40" s="25" t="n">
        <f aca="false">IF(B40="AR",SQRT(Inputs!$B$9*F40/J40),IF(B40="AD",Inputs!$B$9*F40/(2*J40),2*Inputs!$B$9*F40/J40))</f>
        <v>4.41970613656007E-005</v>
      </c>
      <c r="N40" s="25" t="n">
        <f aca="false">IF(B40="AR",IF(Inputs!$B$25=0,SQRT(Inputs!$B$8*F40/J40),(-Inputs!$B$25+SQRT(Inputs!$B$25^2+4*(1-Inputs!$B$25)*Inputs!$B$8*F40/J40))/(2*(1-Inputs!$B$25))),IF(B40="AD",Inputs!$B$8*F40/(2*J40),2*Inputs!$B$8*F40/J40))</f>
        <v>3.46643618553731E-005</v>
      </c>
      <c r="O40" s="25" t="n">
        <f aca="false">MIN(Inputs!$B$26,M40*L40)</f>
        <v>2.20985306828003E-005</v>
      </c>
      <c r="P40" s="25" t="n">
        <f aca="false">MIN(Inputs!$B$26,O40*Inputs!$B$19)</f>
        <v>0.000220985306828003</v>
      </c>
      <c r="Q40" s="25" t="n">
        <f aca="false">MIN(O40,N40*Inputs!$B$21)</f>
        <v>1.73321809276865E-006</v>
      </c>
      <c r="R40" s="26"/>
      <c r="S40" s="26"/>
      <c r="T40" s="26"/>
      <c r="U40" s="20" t="str">
        <f aca="false">IF(COUNT(R40:T40)&gt;0,"Published spec (+calc where blank)","Calculated (this workbook)")</f>
        <v>Calculated (this workbook)</v>
      </c>
      <c r="V40" s="28" t="n">
        <f aca="false">IF(R40="",MAX(P40,W40),R40)</f>
        <v>0.000220985306828003</v>
      </c>
      <c r="W40" s="28" t="n">
        <f aca="false">IF(S40="",O40,S40)</f>
        <v>2.20985306828003E-005</v>
      </c>
      <c r="X40" s="28" t="n">
        <f aca="false">IF(T40="",Q40,T40)</f>
        <v>1.73321809276865E-006</v>
      </c>
      <c r="Y40" s="20" t="str">
        <f aca="false">IF(S40="","",IF(O40&lt;S40,"Calc STRICTER (lower)","Calc more lenient (higher)"))</f>
        <v/>
      </c>
      <c r="Z40" s="20" t="str">
        <f aca="false">IF(B40="XL","Hemizygous male AF (grpmax)","grpmax FAF95; check SAS, IndiGen, GenomeIndia")</f>
        <v>Hemizygous male AF (grpmax)</v>
      </c>
      <c r="AA40" s="20"/>
      <c r="AB40" s="20"/>
    </row>
    <row r="41" customFormat="false" ht="15" hidden="false" customHeight="false" outlineLevel="0" collapsed="false">
      <c r="A41" s="19" t="s">
        <v>151</v>
      </c>
      <c r="B41" s="20" t="s">
        <v>96</v>
      </c>
      <c r="C41" s="20" t="s">
        <v>152</v>
      </c>
      <c r="D41" s="21" t="n">
        <f aca="false">SUMIF(Indian_Gene_Shares!$B$5:$B$47,A41,Indian_Gene_Shares!$G$5:$G$47)</f>
        <v>0.0039496248100304</v>
      </c>
      <c r="E41" s="9" t="n">
        <f aca="false">IFERROR(INDEX(ARIDE_Cohort!$C$6:$C$207,MATCH(A41,ARIDE_Cohort!$A$6:$A$207,0)),0)</f>
        <v>0</v>
      </c>
      <c r="F41" s="22" t="n">
        <f aca="false">MAX(Inputs!$B$24,IF(AND(Inputs!$B$29="ARIDE cohort",ARIDE_Cohort!$B$3&gt;=Inputs!$B$30),E41,D41))</f>
        <v>0.01</v>
      </c>
      <c r="G41" s="20" t="str">
        <f aca="false">IF(AND(Inputs!$B$29="ARIDE cohort",ARIDE_Cohort!$B$3&gt;=Inputs!$B$30),IF(E41&gt;Inputs!$B$24,"ARIDE cohort","Floor (ARIDE share below floor)"),IF(D41&gt;Inputs!$B$24,"Indian literature",IF(D41&gt;0,"Floor (Indian share below floor)","Floor (no Indian data)")))</f>
        <v>Floor (Indian share below floor)</v>
      </c>
      <c r="H41" s="23" t="n">
        <f aca="false">IF(B41="AR",Inputs!$B$14,IF(B41="AD",Inputs!$B$15,Inputs!$B$16))</f>
        <v>1</v>
      </c>
      <c r="I41" s="12"/>
      <c r="J41" s="24" t="n">
        <f aca="false">IF(I41="",H41,I41)</f>
        <v>1</v>
      </c>
      <c r="K41" s="12"/>
      <c r="L41" s="24" t="n">
        <f aca="false">IF(K41="",Inputs!$B$20,K41)</f>
        <v>0.5</v>
      </c>
      <c r="M41" s="25" t="n">
        <f aca="false">IF(B41="AR",SQRT(Inputs!$B$9*F41/J41),IF(B41="AD",Inputs!$B$9*F41/(2*J41),2*Inputs!$B$9*F41/J41))</f>
        <v>0.00470090743184764</v>
      </c>
      <c r="N41" s="25" t="n">
        <f aca="false">IF(B41="AR",IF(Inputs!$B$25=0,SQRT(Inputs!$B$8*F41/J41),(-Inputs!$B$25+SQRT(Inputs!$B$25^2+4*(1-Inputs!$B$25)*Inputs!$B$8*F41/J41))/(2*(1-Inputs!$B$25))),IF(B41="AD",Inputs!$B$8*F41/(2*J41),2*Inputs!$B$8*F41/J41))</f>
        <v>0.00416319359719033</v>
      </c>
      <c r="O41" s="25" t="n">
        <f aca="false">MIN(Inputs!$B$26,M41*L41)</f>
        <v>0.00235045371592382</v>
      </c>
      <c r="P41" s="25" t="n">
        <f aca="false">MIN(Inputs!$B$26,O41*Inputs!$B$19)</f>
        <v>0.0235045371592382</v>
      </c>
      <c r="Q41" s="25" t="n">
        <f aca="false">MIN(O41,N41*Inputs!$B$21)</f>
        <v>0.000208159679859516</v>
      </c>
      <c r="R41" s="26"/>
      <c r="S41" s="26"/>
      <c r="T41" s="26"/>
      <c r="U41" s="20" t="str">
        <f aca="false">IF(COUNT(R41:T41)&gt;0,"Published spec (+calc where blank)","Calculated (this workbook)")</f>
        <v>Calculated (this workbook)</v>
      </c>
      <c r="V41" s="28" t="n">
        <f aca="false">IF(R41="",MAX(P41,W41),R41)</f>
        <v>0.0235045371592382</v>
      </c>
      <c r="W41" s="28" t="n">
        <f aca="false">IF(S41="",O41,S41)</f>
        <v>0.00235045371592382</v>
      </c>
      <c r="X41" s="28" t="n">
        <f aca="false">IF(T41="",Q41,T41)</f>
        <v>0.000208159679859516</v>
      </c>
      <c r="Y41" s="20" t="str">
        <f aca="false">IF(S41="","",IF(O41&lt;S41,"Calc STRICTER (lower)","Calc more lenient (higher)"))</f>
        <v/>
      </c>
      <c r="Z41" s="20" t="str">
        <f aca="false">IF(B41="XL","Hemizygous male AF (grpmax)","grpmax FAF95; check SAS, IndiGen, GenomeIndia")</f>
        <v>grpmax FAF95; check SAS, IndiGen, GenomeIndia</v>
      </c>
      <c r="AA41" s="20"/>
      <c r="AB41" s="20"/>
    </row>
    <row r="42" customFormat="false" ht="15" hidden="false" customHeight="false" outlineLevel="0" collapsed="false">
      <c r="A42" s="19" t="s">
        <v>153</v>
      </c>
      <c r="B42" s="20" t="s">
        <v>96</v>
      </c>
      <c r="C42" s="20" t="s">
        <v>154</v>
      </c>
      <c r="D42" s="21" t="n">
        <f aca="false">SUMIF(Indian_Gene_Shares!$B$5:$B$47,A42,Indian_Gene_Shares!$G$5:$G$47)</f>
        <v>0.000443702507598784</v>
      </c>
      <c r="E42" s="9" t="n">
        <f aca="false">IFERROR(INDEX(ARIDE_Cohort!$C$6:$C$207,MATCH(A42,ARIDE_Cohort!$A$6:$A$207,0)),0)</f>
        <v>0</v>
      </c>
      <c r="F42" s="22" t="n">
        <f aca="false">MAX(Inputs!$B$24,IF(AND(Inputs!$B$29="ARIDE cohort",ARIDE_Cohort!$B$3&gt;=Inputs!$B$30),E42,D42))</f>
        <v>0.01</v>
      </c>
      <c r="G42" s="20" t="str">
        <f aca="false">IF(AND(Inputs!$B$29="ARIDE cohort",ARIDE_Cohort!$B$3&gt;=Inputs!$B$30),IF(E42&gt;Inputs!$B$24,"ARIDE cohort","Floor (ARIDE share below floor)"),IF(D42&gt;Inputs!$B$24,"Indian literature",IF(D42&gt;0,"Floor (Indian share below floor)","Floor (no Indian data)")))</f>
        <v>Floor (Indian share below floor)</v>
      </c>
      <c r="H42" s="23" t="n">
        <f aca="false">IF(B42="AR",Inputs!$B$14,IF(B42="AD",Inputs!$B$15,Inputs!$B$16))</f>
        <v>1</v>
      </c>
      <c r="I42" s="12"/>
      <c r="J42" s="24" t="n">
        <f aca="false">IF(I42="",H42,I42)</f>
        <v>1</v>
      </c>
      <c r="K42" s="12"/>
      <c r="L42" s="24" t="n">
        <f aca="false">IF(K42="",Inputs!$B$20,K42)</f>
        <v>0.5</v>
      </c>
      <c r="M42" s="25" t="n">
        <f aca="false">IF(B42="AR",SQRT(Inputs!$B$9*F42/J42),IF(B42="AD",Inputs!$B$9*F42/(2*J42),2*Inputs!$B$9*F42/J42))</f>
        <v>0.00470090743184764</v>
      </c>
      <c r="N42" s="25" t="n">
        <f aca="false">IF(B42="AR",IF(Inputs!$B$25=0,SQRT(Inputs!$B$8*F42/J42),(-Inputs!$B$25+SQRT(Inputs!$B$25^2+4*(1-Inputs!$B$25)*Inputs!$B$8*F42/J42))/(2*(1-Inputs!$B$25))),IF(B42="AD",Inputs!$B$8*F42/(2*J42),2*Inputs!$B$8*F42/J42))</f>
        <v>0.00416319359719033</v>
      </c>
      <c r="O42" s="25" t="n">
        <f aca="false">MIN(Inputs!$B$26,M42*L42)</f>
        <v>0.00235045371592382</v>
      </c>
      <c r="P42" s="25" t="n">
        <f aca="false">MIN(Inputs!$B$26,O42*Inputs!$B$19)</f>
        <v>0.0235045371592382</v>
      </c>
      <c r="Q42" s="25" t="n">
        <f aca="false">MIN(O42,N42*Inputs!$B$21)</f>
        <v>0.000208159679859516</v>
      </c>
      <c r="R42" s="26"/>
      <c r="S42" s="26"/>
      <c r="T42" s="26"/>
      <c r="U42" s="20" t="str">
        <f aca="false">IF(COUNT(R42:T42)&gt;0,"Published spec (+calc where blank)","Calculated (this workbook)")</f>
        <v>Calculated (this workbook)</v>
      </c>
      <c r="V42" s="28" t="n">
        <f aca="false">IF(R42="",MAX(P42,W42),R42)</f>
        <v>0.0235045371592382</v>
      </c>
      <c r="W42" s="28" t="n">
        <f aca="false">IF(S42="",O42,S42)</f>
        <v>0.00235045371592382</v>
      </c>
      <c r="X42" s="28" t="n">
        <f aca="false">IF(T42="",Q42,T42)</f>
        <v>0.000208159679859516</v>
      </c>
      <c r="Y42" s="20" t="str">
        <f aca="false">IF(S42="","",IF(O42&lt;S42,"Calc STRICTER (lower)","Calc more lenient (higher)"))</f>
        <v/>
      </c>
      <c r="Z42" s="20" t="str">
        <f aca="false">IF(B42="XL","Hemizygous male AF (grpmax)","grpmax FAF95; check SAS, IndiGen, GenomeIndia")</f>
        <v>grpmax FAF95; check SAS, IndiGen, GenomeIndia</v>
      </c>
      <c r="AA42" s="20"/>
      <c r="AB42" s="20"/>
    </row>
    <row r="43" customFormat="false" ht="15" hidden="false" customHeight="false" outlineLevel="0" collapsed="false">
      <c r="A43" s="19" t="s">
        <v>155</v>
      </c>
      <c r="B43" s="20" t="s">
        <v>96</v>
      </c>
      <c r="C43" s="20" t="s">
        <v>156</v>
      </c>
      <c r="D43" s="21" t="n">
        <f aca="false">SUMIF(Indian_Gene_Shares!$B$5:$B$47,A43,Indian_Gene_Shares!$G$5:$G$47)</f>
        <v>0</v>
      </c>
      <c r="E43" s="9" t="n">
        <f aca="false">IFERROR(INDEX(ARIDE_Cohort!$C$6:$C$207,MATCH(A43,ARIDE_Cohort!$A$6:$A$207,0)),0)</f>
        <v>0</v>
      </c>
      <c r="F43" s="22" t="n">
        <f aca="false">MAX(Inputs!$B$24,IF(AND(Inputs!$B$29="ARIDE cohort",ARIDE_Cohort!$B$3&gt;=Inputs!$B$30),E43,D43))</f>
        <v>0.01</v>
      </c>
      <c r="G43" s="20" t="str">
        <f aca="false">IF(AND(Inputs!$B$29="ARIDE cohort",ARIDE_Cohort!$B$3&gt;=Inputs!$B$30),IF(E43&gt;Inputs!$B$24,"ARIDE cohort","Floor (ARIDE share below floor)"),IF(D43&gt;Inputs!$B$24,"Indian literature",IF(D43&gt;0,"Floor (Indian share below floor)","Floor (no Indian data)")))</f>
        <v>Floor (no Indian data)</v>
      </c>
      <c r="H43" s="23" t="n">
        <f aca="false">IF(B43="AR",Inputs!$B$14,IF(B43="AD",Inputs!$B$15,Inputs!$B$16))</f>
        <v>1</v>
      </c>
      <c r="I43" s="12"/>
      <c r="J43" s="24" t="n">
        <f aca="false">IF(I43="",H43,I43)</f>
        <v>1</v>
      </c>
      <c r="K43" s="12"/>
      <c r="L43" s="24" t="n">
        <f aca="false">IF(K43="",Inputs!$B$20,K43)</f>
        <v>0.5</v>
      </c>
      <c r="M43" s="25" t="n">
        <f aca="false">IF(B43="AR",SQRT(Inputs!$B$9*F43/J43),IF(B43="AD",Inputs!$B$9*F43/(2*J43),2*Inputs!$B$9*F43/J43))</f>
        <v>0.00470090743184764</v>
      </c>
      <c r="N43" s="25" t="n">
        <f aca="false">IF(B43="AR",IF(Inputs!$B$25=0,SQRT(Inputs!$B$8*F43/J43),(-Inputs!$B$25+SQRT(Inputs!$B$25^2+4*(1-Inputs!$B$25)*Inputs!$B$8*F43/J43))/(2*(1-Inputs!$B$25))),IF(B43="AD",Inputs!$B$8*F43/(2*J43),2*Inputs!$B$8*F43/J43))</f>
        <v>0.00416319359719033</v>
      </c>
      <c r="O43" s="25" t="n">
        <f aca="false">MIN(Inputs!$B$26,M43*L43)</f>
        <v>0.00235045371592382</v>
      </c>
      <c r="P43" s="25" t="n">
        <f aca="false">MIN(Inputs!$B$26,O43*Inputs!$B$19)</f>
        <v>0.0235045371592382</v>
      </c>
      <c r="Q43" s="25" t="n">
        <f aca="false">MIN(O43,N43*Inputs!$B$21)</f>
        <v>0.000208159679859516</v>
      </c>
      <c r="R43" s="27" t="n">
        <v>0.005</v>
      </c>
      <c r="S43" s="27" t="n">
        <v>0.003</v>
      </c>
      <c r="T43" s="27" t="n">
        <v>7E-005</v>
      </c>
      <c r="U43" s="20" t="str">
        <f aca="false">IF(COUNT(R43:T43)&gt;0,"Published spec (+calc where blank)","Calculated (this workbook)")</f>
        <v>Published spec (+calc where blank)</v>
      </c>
      <c r="V43" s="28" t="n">
        <f aca="false">IF(R43="",MAX(P43,W43),R43)</f>
        <v>0.005</v>
      </c>
      <c r="W43" s="28" t="n">
        <f aca="false">IF(S43="",O43,S43)</f>
        <v>0.003</v>
      </c>
      <c r="X43" s="28" t="n">
        <f aca="false">IF(T43="",Q43,T43)</f>
        <v>7E-005</v>
      </c>
      <c r="Y43" s="20" t="str">
        <f aca="false">IF(S43="","",IF(O43&lt;S43,"Calc STRICTER (lower)","Calc more lenient (higher)"))</f>
        <v>Calc STRICTER (lower)</v>
      </c>
      <c r="Z43" s="20" t="str">
        <f aca="false">IF(B43="XL","Hemizygous male AF (grpmax)","grpmax FAF95; check SAS, IndiGen, GenomeIndia")</f>
        <v>grpmax FAF95; check SAS, IndiGen, GenomeIndia</v>
      </c>
      <c r="AA43" s="20" t="s">
        <v>157</v>
      </c>
      <c r="AB43" s="20"/>
    </row>
    <row r="44" customFormat="false" ht="15" hidden="false" customHeight="false" outlineLevel="0" collapsed="false">
      <c r="A44" s="19" t="s">
        <v>158</v>
      </c>
      <c r="B44" s="20" t="s">
        <v>96</v>
      </c>
      <c r="C44" s="20" t="s">
        <v>159</v>
      </c>
      <c r="D44" s="21" t="n">
        <f aca="false">SUMIF(Indian_Gene_Shares!$B$5:$B$47,A44,Indian_Gene_Shares!$G$5:$G$47)</f>
        <v>0</v>
      </c>
      <c r="E44" s="9" t="n">
        <f aca="false">IFERROR(INDEX(ARIDE_Cohort!$C$6:$C$207,MATCH(A44,ARIDE_Cohort!$A$6:$A$207,0)),0)</f>
        <v>0</v>
      </c>
      <c r="F44" s="22" t="n">
        <f aca="false">MAX(Inputs!$B$24,IF(AND(Inputs!$B$29="ARIDE cohort",ARIDE_Cohort!$B$3&gt;=Inputs!$B$30),E44,D44))</f>
        <v>0.01</v>
      </c>
      <c r="G44" s="20" t="str">
        <f aca="false">IF(AND(Inputs!$B$29="ARIDE cohort",ARIDE_Cohort!$B$3&gt;=Inputs!$B$30),IF(E44&gt;Inputs!$B$24,"ARIDE cohort","Floor (ARIDE share below floor)"),IF(D44&gt;Inputs!$B$24,"Indian literature",IF(D44&gt;0,"Floor (Indian share below floor)","Floor (no Indian data)")))</f>
        <v>Floor (no Indian data)</v>
      </c>
      <c r="H44" s="23" t="n">
        <f aca="false">IF(B44="AR",Inputs!$B$14,IF(B44="AD",Inputs!$B$15,Inputs!$B$16))</f>
        <v>1</v>
      </c>
      <c r="I44" s="12"/>
      <c r="J44" s="24" t="n">
        <f aca="false">IF(I44="",H44,I44)</f>
        <v>1</v>
      </c>
      <c r="K44" s="12"/>
      <c r="L44" s="24" t="n">
        <f aca="false">IF(K44="",Inputs!$B$20,K44)</f>
        <v>0.5</v>
      </c>
      <c r="M44" s="25" t="n">
        <f aca="false">IF(B44="AR",SQRT(Inputs!$B$9*F44/J44),IF(B44="AD",Inputs!$B$9*F44/(2*J44),2*Inputs!$B$9*F44/J44))</f>
        <v>0.00470090743184764</v>
      </c>
      <c r="N44" s="25" t="n">
        <f aca="false">IF(B44="AR",IF(Inputs!$B$25=0,SQRT(Inputs!$B$8*F44/J44),(-Inputs!$B$25+SQRT(Inputs!$B$25^2+4*(1-Inputs!$B$25)*Inputs!$B$8*F44/J44))/(2*(1-Inputs!$B$25))),IF(B44="AD",Inputs!$B$8*F44/(2*J44),2*Inputs!$B$8*F44/J44))</f>
        <v>0.00416319359719033</v>
      </c>
      <c r="O44" s="25" t="n">
        <f aca="false">MIN(Inputs!$B$26,M44*L44)</f>
        <v>0.00235045371592382</v>
      </c>
      <c r="P44" s="25" t="n">
        <f aca="false">MIN(Inputs!$B$26,O44*Inputs!$B$19)</f>
        <v>0.0235045371592382</v>
      </c>
      <c r="Q44" s="25" t="n">
        <f aca="false">MIN(O44,N44*Inputs!$B$21)</f>
        <v>0.000208159679859516</v>
      </c>
      <c r="R44" s="26"/>
      <c r="S44" s="26"/>
      <c r="T44" s="26"/>
      <c r="U44" s="20" t="str">
        <f aca="false">IF(COUNT(R44:T44)&gt;0,"Published spec (+calc where blank)","Calculated (this workbook)")</f>
        <v>Calculated (this workbook)</v>
      </c>
      <c r="V44" s="28" t="n">
        <f aca="false">IF(R44="",MAX(P44,W44),R44)</f>
        <v>0.0235045371592382</v>
      </c>
      <c r="W44" s="28" t="n">
        <f aca="false">IF(S44="",O44,S44)</f>
        <v>0.00235045371592382</v>
      </c>
      <c r="X44" s="28" t="n">
        <f aca="false">IF(T44="",Q44,T44)</f>
        <v>0.000208159679859516</v>
      </c>
      <c r="Y44" s="20" t="str">
        <f aca="false">IF(S44="","",IF(O44&lt;S44,"Calc STRICTER (lower)","Calc more lenient (higher)"))</f>
        <v/>
      </c>
      <c r="Z44" s="20" t="str">
        <f aca="false">IF(B44="XL","Hemizygous male AF (grpmax)","grpmax FAF95; check SAS, IndiGen, GenomeIndia")</f>
        <v>grpmax FAF95; check SAS, IndiGen, GenomeIndia</v>
      </c>
      <c r="AA44" s="20"/>
      <c r="AB44" s="20"/>
    </row>
    <row r="45" customFormat="false" ht="15" hidden="false" customHeight="false" outlineLevel="0" collapsed="false">
      <c r="A45" s="19" t="s">
        <v>160</v>
      </c>
      <c r="B45" s="20" t="s">
        <v>96</v>
      </c>
      <c r="C45" s="20" t="s">
        <v>103</v>
      </c>
      <c r="D45" s="21" t="n">
        <f aca="false">SUMIF(Indian_Gene_Shares!$B$5:$B$47,A45,Indian_Gene_Shares!$G$5:$G$47)</f>
        <v>0</v>
      </c>
      <c r="E45" s="9" t="n">
        <f aca="false">IFERROR(INDEX(ARIDE_Cohort!$C$6:$C$207,MATCH(A45,ARIDE_Cohort!$A$6:$A$207,0)),0)</f>
        <v>0</v>
      </c>
      <c r="F45" s="22" t="n">
        <f aca="false">MAX(Inputs!$B$24,IF(AND(Inputs!$B$29="ARIDE cohort",ARIDE_Cohort!$B$3&gt;=Inputs!$B$30),E45,D45))</f>
        <v>0.01</v>
      </c>
      <c r="G45" s="20" t="str">
        <f aca="false">IF(AND(Inputs!$B$29="ARIDE cohort",ARIDE_Cohort!$B$3&gt;=Inputs!$B$30),IF(E45&gt;Inputs!$B$24,"ARIDE cohort","Floor (ARIDE share below floor)"),IF(D45&gt;Inputs!$B$24,"Indian literature",IF(D45&gt;0,"Floor (Indian share below floor)","Floor (no Indian data)")))</f>
        <v>Floor (no Indian data)</v>
      </c>
      <c r="H45" s="23" t="n">
        <f aca="false">IF(B45="AR",Inputs!$B$14,IF(B45="AD",Inputs!$B$15,Inputs!$B$16))</f>
        <v>1</v>
      </c>
      <c r="I45" s="12"/>
      <c r="J45" s="24" t="n">
        <f aca="false">IF(I45="",H45,I45)</f>
        <v>1</v>
      </c>
      <c r="K45" s="12"/>
      <c r="L45" s="24" t="n">
        <f aca="false">IF(K45="",Inputs!$B$20,K45)</f>
        <v>0.5</v>
      </c>
      <c r="M45" s="25" t="n">
        <f aca="false">IF(B45="AR",SQRT(Inputs!$B$9*F45/J45),IF(B45="AD",Inputs!$B$9*F45/(2*J45),2*Inputs!$B$9*F45/J45))</f>
        <v>0.00470090743184764</v>
      </c>
      <c r="N45" s="25" t="n">
        <f aca="false">IF(B45="AR",IF(Inputs!$B$25=0,SQRT(Inputs!$B$8*F45/J45),(-Inputs!$B$25+SQRT(Inputs!$B$25^2+4*(1-Inputs!$B$25)*Inputs!$B$8*F45/J45))/(2*(1-Inputs!$B$25))),IF(B45="AD",Inputs!$B$8*F45/(2*J45),2*Inputs!$B$8*F45/J45))</f>
        <v>0.00416319359719033</v>
      </c>
      <c r="O45" s="25" t="n">
        <f aca="false">MIN(Inputs!$B$26,M45*L45)</f>
        <v>0.00235045371592382</v>
      </c>
      <c r="P45" s="25" t="n">
        <f aca="false">MIN(Inputs!$B$26,O45*Inputs!$B$19)</f>
        <v>0.0235045371592382</v>
      </c>
      <c r="Q45" s="25" t="n">
        <f aca="false">MIN(O45,N45*Inputs!$B$21)</f>
        <v>0.000208159679859516</v>
      </c>
      <c r="R45" s="26"/>
      <c r="S45" s="26"/>
      <c r="T45" s="26"/>
      <c r="U45" s="20" t="str">
        <f aca="false">IF(COUNT(R45:T45)&gt;0,"Published spec (+calc where blank)","Calculated (this workbook)")</f>
        <v>Calculated (this workbook)</v>
      </c>
      <c r="V45" s="28" t="n">
        <f aca="false">IF(R45="",MAX(P45,W45),R45)</f>
        <v>0.0235045371592382</v>
      </c>
      <c r="W45" s="28" t="n">
        <f aca="false">IF(S45="",O45,S45)</f>
        <v>0.00235045371592382</v>
      </c>
      <c r="X45" s="28" t="n">
        <f aca="false">IF(T45="",Q45,T45)</f>
        <v>0.000208159679859516</v>
      </c>
      <c r="Y45" s="20" t="str">
        <f aca="false">IF(S45="","",IF(O45&lt;S45,"Calc STRICTER (lower)","Calc more lenient (higher)"))</f>
        <v/>
      </c>
      <c r="Z45" s="20" t="str">
        <f aca="false">IF(B45="XL","Hemizygous male AF (grpmax)","grpmax FAF95; check SAS, IndiGen, GenomeIndia")</f>
        <v>grpmax FAF95; check SAS, IndiGen, GenomeIndia</v>
      </c>
      <c r="AA45" s="20"/>
      <c r="AB45" s="20"/>
    </row>
    <row r="46" customFormat="false" ht="15" hidden="false" customHeight="false" outlineLevel="0" collapsed="false">
      <c r="A46" s="19" t="s">
        <v>161</v>
      </c>
      <c r="B46" s="20" t="s">
        <v>96</v>
      </c>
      <c r="C46" s="20" t="s">
        <v>162</v>
      </c>
      <c r="D46" s="21" t="n">
        <f aca="false">SUMIF(Indian_Gene_Shares!$B$5:$B$47,A46,Indian_Gene_Shares!$G$5:$G$47)</f>
        <v>0</v>
      </c>
      <c r="E46" s="9" t="n">
        <f aca="false">IFERROR(INDEX(ARIDE_Cohort!$C$6:$C$207,MATCH(A46,ARIDE_Cohort!$A$6:$A$207,0)),0)</f>
        <v>0</v>
      </c>
      <c r="F46" s="22" t="n">
        <f aca="false">MAX(Inputs!$B$24,IF(AND(Inputs!$B$29="ARIDE cohort",ARIDE_Cohort!$B$3&gt;=Inputs!$B$30),E46,D46))</f>
        <v>0.01</v>
      </c>
      <c r="G46" s="20" t="str">
        <f aca="false">IF(AND(Inputs!$B$29="ARIDE cohort",ARIDE_Cohort!$B$3&gt;=Inputs!$B$30),IF(E46&gt;Inputs!$B$24,"ARIDE cohort","Floor (ARIDE share below floor)"),IF(D46&gt;Inputs!$B$24,"Indian literature",IF(D46&gt;0,"Floor (Indian share below floor)","Floor (no Indian data)")))</f>
        <v>Floor (no Indian data)</v>
      </c>
      <c r="H46" s="23" t="n">
        <f aca="false">IF(B46="AR",Inputs!$B$14,IF(B46="AD",Inputs!$B$15,Inputs!$B$16))</f>
        <v>1</v>
      </c>
      <c r="I46" s="12"/>
      <c r="J46" s="24" t="n">
        <f aca="false">IF(I46="",H46,I46)</f>
        <v>1</v>
      </c>
      <c r="K46" s="12"/>
      <c r="L46" s="24" t="n">
        <f aca="false">IF(K46="",Inputs!$B$20,K46)</f>
        <v>0.5</v>
      </c>
      <c r="M46" s="25" t="n">
        <f aca="false">IF(B46="AR",SQRT(Inputs!$B$9*F46/J46),IF(B46="AD",Inputs!$B$9*F46/(2*J46),2*Inputs!$B$9*F46/J46))</f>
        <v>0.00470090743184764</v>
      </c>
      <c r="N46" s="25" t="n">
        <f aca="false">IF(B46="AR",IF(Inputs!$B$25=0,SQRT(Inputs!$B$8*F46/J46),(-Inputs!$B$25+SQRT(Inputs!$B$25^2+4*(1-Inputs!$B$25)*Inputs!$B$8*F46/J46))/(2*(1-Inputs!$B$25))),IF(B46="AD",Inputs!$B$8*F46/(2*J46),2*Inputs!$B$8*F46/J46))</f>
        <v>0.00416319359719033</v>
      </c>
      <c r="O46" s="25" t="n">
        <f aca="false">MIN(Inputs!$B$26,M46*L46)</f>
        <v>0.00235045371592382</v>
      </c>
      <c r="P46" s="25" t="n">
        <f aca="false">MIN(Inputs!$B$26,O46*Inputs!$B$19)</f>
        <v>0.0235045371592382</v>
      </c>
      <c r="Q46" s="25" t="n">
        <f aca="false">MIN(O46,N46*Inputs!$B$21)</f>
        <v>0.000208159679859516</v>
      </c>
      <c r="R46" s="26"/>
      <c r="S46" s="26"/>
      <c r="T46" s="26"/>
      <c r="U46" s="20" t="str">
        <f aca="false">IF(COUNT(R46:T46)&gt;0,"Published spec (+calc where blank)","Calculated (this workbook)")</f>
        <v>Calculated (this workbook)</v>
      </c>
      <c r="V46" s="28" t="n">
        <f aca="false">IF(R46="",MAX(P46,W46),R46)</f>
        <v>0.0235045371592382</v>
      </c>
      <c r="W46" s="28" t="n">
        <f aca="false">IF(S46="",O46,S46)</f>
        <v>0.00235045371592382</v>
      </c>
      <c r="X46" s="28" t="n">
        <f aca="false">IF(T46="",Q46,T46)</f>
        <v>0.000208159679859516</v>
      </c>
      <c r="Y46" s="20" t="str">
        <f aca="false">IF(S46="","",IF(O46&lt;S46,"Calc STRICTER (lower)","Calc more lenient (higher)"))</f>
        <v/>
      </c>
      <c r="Z46" s="20" t="str">
        <f aca="false">IF(B46="XL","Hemizygous male AF (grpmax)","grpmax FAF95; check SAS, IndiGen, GenomeIndia")</f>
        <v>grpmax FAF95; check SAS, IndiGen, GenomeIndia</v>
      </c>
      <c r="AA46" s="20"/>
      <c r="AB46" s="20"/>
    </row>
    <row r="47" customFormat="false" ht="15" hidden="false" customHeight="false" outlineLevel="0" collapsed="false">
      <c r="A47" s="19" t="s">
        <v>163</v>
      </c>
      <c r="B47" s="20" t="s">
        <v>96</v>
      </c>
      <c r="C47" s="20" t="s">
        <v>164</v>
      </c>
      <c r="D47" s="21" t="n">
        <f aca="false">SUMIF(Indian_Gene_Shares!$B$5:$B$47,A47,Indian_Gene_Shares!$G$5:$G$47)</f>
        <v>0</v>
      </c>
      <c r="E47" s="9" t="n">
        <f aca="false">IFERROR(INDEX(ARIDE_Cohort!$C$6:$C$207,MATCH(A47,ARIDE_Cohort!$A$6:$A$207,0)),0)</f>
        <v>0</v>
      </c>
      <c r="F47" s="22" t="n">
        <f aca="false">MAX(Inputs!$B$24,IF(AND(Inputs!$B$29="ARIDE cohort",ARIDE_Cohort!$B$3&gt;=Inputs!$B$30),E47,D47))</f>
        <v>0.01</v>
      </c>
      <c r="G47" s="20" t="str">
        <f aca="false">IF(AND(Inputs!$B$29="ARIDE cohort",ARIDE_Cohort!$B$3&gt;=Inputs!$B$30),IF(E47&gt;Inputs!$B$24,"ARIDE cohort","Floor (ARIDE share below floor)"),IF(D47&gt;Inputs!$B$24,"Indian literature",IF(D47&gt;0,"Floor (Indian share below floor)","Floor (no Indian data)")))</f>
        <v>Floor (no Indian data)</v>
      </c>
      <c r="H47" s="23" t="n">
        <f aca="false">IF(B47="AR",Inputs!$B$14,IF(B47="AD",Inputs!$B$15,Inputs!$B$16))</f>
        <v>1</v>
      </c>
      <c r="I47" s="12"/>
      <c r="J47" s="24" t="n">
        <f aca="false">IF(I47="",H47,I47)</f>
        <v>1</v>
      </c>
      <c r="K47" s="12"/>
      <c r="L47" s="24" t="n">
        <f aca="false">IF(K47="",Inputs!$B$20,K47)</f>
        <v>0.5</v>
      </c>
      <c r="M47" s="25" t="n">
        <f aca="false">IF(B47="AR",SQRT(Inputs!$B$9*F47/J47),IF(B47="AD",Inputs!$B$9*F47/(2*J47),2*Inputs!$B$9*F47/J47))</f>
        <v>0.00470090743184764</v>
      </c>
      <c r="N47" s="25" t="n">
        <f aca="false">IF(B47="AR",IF(Inputs!$B$25=0,SQRT(Inputs!$B$8*F47/J47),(-Inputs!$B$25+SQRT(Inputs!$B$25^2+4*(1-Inputs!$B$25)*Inputs!$B$8*F47/J47))/(2*(1-Inputs!$B$25))),IF(B47="AD",Inputs!$B$8*F47/(2*J47),2*Inputs!$B$8*F47/J47))</f>
        <v>0.00416319359719033</v>
      </c>
      <c r="O47" s="25" t="n">
        <f aca="false">MIN(Inputs!$B$26,M47*L47)</f>
        <v>0.00235045371592382</v>
      </c>
      <c r="P47" s="25" t="n">
        <f aca="false">MIN(Inputs!$B$26,O47*Inputs!$B$19)</f>
        <v>0.0235045371592382</v>
      </c>
      <c r="Q47" s="25" t="n">
        <f aca="false">MIN(O47,N47*Inputs!$B$21)</f>
        <v>0.000208159679859516</v>
      </c>
      <c r="R47" s="26"/>
      <c r="S47" s="26"/>
      <c r="T47" s="26"/>
      <c r="U47" s="20" t="str">
        <f aca="false">IF(COUNT(R47:T47)&gt;0,"Published spec (+calc where blank)","Calculated (this workbook)")</f>
        <v>Calculated (this workbook)</v>
      </c>
      <c r="V47" s="28" t="n">
        <f aca="false">IF(R47="",MAX(P47,W47),R47)</f>
        <v>0.0235045371592382</v>
      </c>
      <c r="W47" s="28" t="n">
        <f aca="false">IF(S47="",O47,S47)</f>
        <v>0.00235045371592382</v>
      </c>
      <c r="X47" s="28" t="n">
        <f aca="false">IF(T47="",Q47,T47)</f>
        <v>0.000208159679859516</v>
      </c>
      <c r="Y47" s="20" t="str">
        <f aca="false">IF(S47="","",IF(O47&lt;S47,"Calc STRICTER (lower)","Calc more lenient (higher)"))</f>
        <v/>
      </c>
      <c r="Z47" s="20" t="str">
        <f aca="false">IF(B47="XL","Hemizygous male AF (grpmax)","grpmax FAF95; check SAS, IndiGen, GenomeIndia")</f>
        <v>grpmax FAF95; check SAS, IndiGen, GenomeIndia</v>
      </c>
      <c r="AA47" s="20"/>
      <c r="AB47" s="20"/>
    </row>
    <row r="48" customFormat="false" ht="15" hidden="false" customHeight="false" outlineLevel="0" collapsed="false">
      <c r="A48" s="19" t="s">
        <v>165</v>
      </c>
      <c r="B48" s="20" t="s">
        <v>96</v>
      </c>
      <c r="C48" s="20" t="s">
        <v>166</v>
      </c>
      <c r="D48" s="21" t="n">
        <f aca="false">SUMIF(Indian_Gene_Shares!$B$5:$B$47,A48,Indian_Gene_Shares!$G$5:$G$47)</f>
        <v>0.00191551101823708</v>
      </c>
      <c r="E48" s="9" t="n">
        <f aca="false">IFERROR(INDEX(ARIDE_Cohort!$C$6:$C$207,MATCH(A48,ARIDE_Cohort!$A$6:$A$207,0)),0)</f>
        <v>0</v>
      </c>
      <c r="F48" s="22" t="n">
        <f aca="false">MAX(Inputs!$B$24,IF(AND(Inputs!$B$29="ARIDE cohort",ARIDE_Cohort!$B$3&gt;=Inputs!$B$30),E48,D48))</f>
        <v>0.01</v>
      </c>
      <c r="G48" s="20" t="str">
        <f aca="false">IF(AND(Inputs!$B$29="ARIDE cohort",ARIDE_Cohort!$B$3&gt;=Inputs!$B$30),IF(E48&gt;Inputs!$B$24,"ARIDE cohort","Floor (ARIDE share below floor)"),IF(D48&gt;Inputs!$B$24,"Indian literature",IF(D48&gt;0,"Floor (Indian share below floor)","Floor (no Indian data)")))</f>
        <v>Floor (Indian share below floor)</v>
      </c>
      <c r="H48" s="23" t="n">
        <f aca="false">IF(B48="AR",Inputs!$B$14,IF(B48="AD",Inputs!$B$15,Inputs!$B$16))</f>
        <v>1</v>
      </c>
      <c r="I48" s="12"/>
      <c r="J48" s="24" t="n">
        <f aca="false">IF(I48="",H48,I48)</f>
        <v>1</v>
      </c>
      <c r="K48" s="12"/>
      <c r="L48" s="24" t="n">
        <f aca="false">IF(K48="",Inputs!$B$20,K48)</f>
        <v>0.5</v>
      </c>
      <c r="M48" s="25" t="n">
        <f aca="false">IF(B48="AR",SQRT(Inputs!$B$9*F48/J48),IF(B48="AD",Inputs!$B$9*F48/(2*J48),2*Inputs!$B$9*F48/J48))</f>
        <v>0.00470090743184764</v>
      </c>
      <c r="N48" s="25" t="n">
        <f aca="false">IF(B48="AR",IF(Inputs!$B$25=0,SQRT(Inputs!$B$8*F48/J48),(-Inputs!$B$25+SQRT(Inputs!$B$25^2+4*(1-Inputs!$B$25)*Inputs!$B$8*F48/J48))/(2*(1-Inputs!$B$25))),IF(B48="AD",Inputs!$B$8*F48/(2*J48),2*Inputs!$B$8*F48/J48))</f>
        <v>0.00416319359719033</v>
      </c>
      <c r="O48" s="25" t="n">
        <f aca="false">MIN(Inputs!$B$26,M48*L48)</f>
        <v>0.00235045371592382</v>
      </c>
      <c r="P48" s="25" t="n">
        <f aca="false">MIN(Inputs!$B$26,O48*Inputs!$B$19)</f>
        <v>0.0235045371592382</v>
      </c>
      <c r="Q48" s="25" t="n">
        <f aca="false">MIN(O48,N48*Inputs!$B$21)</f>
        <v>0.000208159679859516</v>
      </c>
      <c r="R48" s="26"/>
      <c r="S48" s="26"/>
      <c r="T48" s="26"/>
      <c r="U48" s="20" t="str">
        <f aca="false">IF(COUNT(R48:T48)&gt;0,"Published spec (+calc where blank)","Calculated (this workbook)")</f>
        <v>Calculated (this workbook)</v>
      </c>
      <c r="V48" s="28" t="n">
        <f aca="false">IF(R48="",MAX(P48,W48),R48)</f>
        <v>0.0235045371592382</v>
      </c>
      <c r="W48" s="28" t="n">
        <f aca="false">IF(S48="",O48,S48)</f>
        <v>0.00235045371592382</v>
      </c>
      <c r="X48" s="28" t="n">
        <f aca="false">IF(T48="",Q48,T48)</f>
        <v>0.000208159679859516</v>
      </c>
      <c r="Y48" s="20" t="str">
        <f aca="false">IF(S48="","",IF(O48&lt;S48,"Calc STRICTER (lower)","Calc more lenient (higher)"))</f>
        <v/>
      </c>
      <c r="Z48" s="20" t="str">
        <f aca="false">IF(B48="XL","Hemizygous male AF (grpmax)","grpmax FAF95; check SAS, IndiGen, GenomeIndia")</f>
        <v>grpmax FAF95; check SAS, IndiGen, GenomeIndia</v>
      </c>
      <c r="AA48" s="20"/>
      <c r="AB48" s="20"/>
    </row>
    <row r="49" customFormat="false" ht="15" hidden="false" customHeight="false" outlineLevel="0" collapsed="false">
      <c r="A49" s="19" t="s">
        <v>167</v>
      </c>
      <c r="B49" s="20" t="s">
        <v>96</v>
      </c>
      <c r="C49" s="20" t="s">
        <v>168</v>
      </c>
      <c r="D49" s="21" t="n">
        <f aca="false">SUMIF(Indian_Gene_Shares!$B$5:$B$47,A49,Indian_Gene_Shares!$G$5:$G$47)</f>
        <v>0</v>
      </c>
      <c r="E49" s="9" t="n">
        <f aca="false">IFERROR(INDEX(ARIDE_Cohort!$C$6:$C$207,MATCH(A49,ARIDE_Cohort!$A$6:$A$207,0)),0)</f>
        <v>0</v>
      </c>
      <c r="F49" s="22" t="n">
        <f aca="false">MAX(Inputs!$B$24,IF(AND(Inputs!$B$29="ARIDE cohort",ARIDE_Cohort!$B$3&gt;=Inputs!$B$30),E49,D49))</f>
        <v>0.01</v>
      </c>
      <c r="G49" s="20" t="str">
        <f aca="false">IF(AND(Inputs!$B$29="ARIDE cohort",ARIDE_Cohort!$B$3&gt;=Inputs!$B$30),IF(E49&gt;Inputs!$B$24,"ARIDE cohort","Floor (ARIDE share below floor)"),IF(D49&gt;Inputs!$B$24,"Indian literature",IF(D49&gt;0,"Floor (Indian share below floor)","Floor (no Indian data)")))</f>
        <v>Floor (no Indian data)</v>
      </c>
      <c r="H49" s="23" t="n">
        <f aca="false">IF(B49="AR",Inputs!$B$14,IF(B49="AD",Inputs!$B$15,Inputs!$B$16))</f>
        <v>1</v>
      </c>
      <c r="I49" s="12"/>
      <c r="J49" s="24" t="n">
        <f aca="false">IF(I49="",H49,I49)</f>
        <v>1</v>
      </c>
      <c r="K49" s="12"/>
      <c r="L49" s="24" t="n">
        <f aca="false">IF(K49="",Inputs!$B$20,K49)</f>
        <v>0.5</v>
      </c>
      <c r="M49" s="25" t="n">
        <f aca="false">IF(B49="AR",SQRT(Inputs!$B$9*F49/J49),IF(B49="AD",Inputs!$B$9*F49/(2*J49),2*Inputs!$B$9*F49/J49))</f>
        <v>0.00470090743184764</v>
      </c>
      <c r="N49" s="25" t="n">
        <f aca="false">IF(B49="AR",IF(Inputs!$B$25=0,SQRT(Inputs!$B$8*F49/J49),(-Inputs!$B$25+SQRT(Inputs!$B$25^2+4*(1-Inputs!$B$25)*Inputs!$B$8*F49/J49))/(2*(1-Inputs!$B$25))),IF(B49="AD",Inputs!$B$8*F49/(2*J49),2*Inputs!$B$8*F49/J49))</f>
        <v>0.00416319359719033</v>
      </c>
      <c r="O49" s="25" t="n">
        <f aca="false">MIN(Inputs!$B$26,M49*L49)</f>
        <v>0.00235045371592382</v>
      </c>
      <c r="P49" s="25" t="n">
        <f aca="false">MIN(Inputs!$B$26,O49*Inputs!$B$19)</f>
        <v>0.0235045371592382</v>
      </c>
      <c r="Q49" s="25" t="n">
        <f aca="false">MIN(O49,N49*Inputs!$B$21)</f>
        <v>0.000208159679859516</v>
      </c>
      <c r="R49" s="26"/>
      <c r="S49" s="26"/>
      <c r="T49" s="26"/>
      <c r="U49" s="20" t="str">
        <f aca="false">IF(COUNT(R49:T49)&gt;0,"Published spec (+calc where blank)","Calculated (this workbook)")</f>
        <v>Calculated (this workbook)</v>
      </c>
      <c r="V49" s="28" t="n">
        <f aca="false">IF(R49="",MAX(P49,W49),R49)</f>
        <v>0.0235045371592382</v>
      </c>
      <c r="W49" s="28" t="n">
        <f aca="false">IF(S49="",O49,S49)</f>
        <v>0.00235045371592382</v>
      </c>
      <c r="X49" s="28" t="n">
        <f aca="false">IF(T49="",Q49,T49)</f>
        <v>0.000208159679859516</v>
      </c>
      <c r="Y49" s="20" t="str">
        <f aca="false">IF(S49="","",IF(O49&lt;S49,"Calc STRICTER (lower)","Calc more lenient (higher)"))</f>
        <v/>
      </c>
      <c r="Z49" s="20" t="str">
        <f aca="false">IF(B49="XL","Hemizygous male AF (grpmax)","grpmax FAF95; check SAS, IndiGen, GenomeIndia")</f>
        <v>grpmax FAF95; check SAS, IndiGen, GenomeIndia</v>
      </c>
      <c r="AA49" s="20"/>
      <c r="AB49" s="20"/>
    </row>
    <row r="50" customFormat="false" ht="15" hidden="false" customHeight="false" outlineLevel="0" collapsed="false">
      <c r="A50" s="19" t="s">
        <v>169</v>
      </c>
      <c r="B50" s="20" t="s">
        <v>96</v>
      </c>
      <c r="C50" s="20" t="s">
        <v>170</v>
      </c>
      <c r="D50" s="21" t="n">
        <f aca="false">SUMIF(Indian_Gene_Shares!$B$5:$B$47,A50,Indian_Gene_Shares!$G$5:$G$47)</f>
        <v>0.117199966755319</v>
      </c>
      <c r="E50" s="9" t="n">
        <f aca="false">IFERROR(INDEX(ARIDE_Cohort!$C$6:$C$207,MATCH(A50,ARIDE_Cohort!$A$6:$A$207,0)),0)</f>
        <v>0</v>
      </c>
      <c r="F50" s="22" t="n">
        <f aca="false">MAX(Inputs!$B$24,IF(AND(Inputs!$B$29="ARIDE cohort",ARIDE_Cohort!$B$3&gt;=Inputs!$B$30),E50,D50))</f>
        <v>0.117199966755319</v>
      </c>
      <c r="G50" s="20" t="str">
        <f aca="false">IF(AND(Inputs!$B$29="ARIDE cohort",ARIDE_Cohort!$B$3&gt;=Inputs!$B$30),IF(E50&gt;Inputs!$B$24,"ARIDE cohort","Floor (ARIDE share below floor)"),IF(D50&gt;Inputs!$B$24,"Indian literature",IF(D50&gt;0,"Floor (Indian share below floor)","Floor (no Indian data)")))</f>
        <v>Indian literature</v>
      </c>
      <c r="H50" s="23" t="n">
        <f aca="false">IF(B50="AR",Inputs!$B$14,IF(B50="AD",Inputs!$B$15,Inputs!$B$16))</f>
        <v>1</v>
      </c>
      <c r="I50" s="12"/>
      <c r="J50" s="24" t="n">
        <f aca="false">IF(I50="",H50,I50)</f>
        <v>1</v>
      </c>
      <c r="K50" s="12" t="n">
        <v>0.85</v>
      </c>
      <c r="L50" s="24" t="n">
        <f aca="false">IF(K50="",Inputs!$B$20,K50)</f>
        <v>0.85</v>
      </c>
      <c r="M50" s="25" t="n">
        <f aca="false">IF(B50="AR",SQRT(Inputs!$B$9*F50/J50),IF(B50="AD",Inputs!$B$9*F50/(2*J50),2*Inputs!$B$9*F50/J50))</f>
        <v>0.0160933124662563</v>
      </c>
      <c r="N50" s="25" t="n">
        <f aca="false">IF(B50="AR",IF(Inputs!$B$25=0,SQRT(Inputs!$B$8*F50/J50),(-Inputs!$B$25+SQRT(Inputs!$B$25^2+4*(1-Inputs!$B$25)*Inputs!$B$8*F50/J50))/(2*(1-Inputs!$B$25))),IF(B50="AD",Inputs!$B$8*F50/(2*J50),2*Inputs!$B$8*F50/J50))</f>
        <v>0.0142524770777646</v>
      </c>
      <c r="O50" s="25" t="n">
        <f aca="false">MIN(Inputs!$B$26,M50*L50)</f>
        <v>0.0136793155963178</v>
      </c>
      <c r="P50" s="25" t="n">
        <f aca="false">MIN(Inputs!$B$26,O50*Inputs!$B$19)</f>
        <v>0.05</v>
      </c>
      <c r="Q50" s="25" t="n">
        <f aca="false">MIN(O50,N50*Inputs!$B$21)</f>
        <v>0.000712623853888228</v>
      </c>
      <c r="R50" s="26"/>
      <c r="S50" s="26"/>
      <c r="T50" s="26"/>
      <c r="U50" s="20" t="str">
        <f aca="false">IF(COUNT(R50:T50)&gt;0,"Published spec (+calc where blank)","Calculated (this workbook)")</f>
        <v>Calculated (this workbook)</v>
      </c>
      <c r="V50" s="28" t="n">
        <f aca="false">IF(R50="",MAX(P50,W50),R50)</f>
        <v>0.05</v>
      </c>
      <c r="W50" s="28" t="n">
        <f aca="false">IF(S50="",O50,S50)</f>
        <v>0.0136793155963178</v>
      </c>
      <c r="X50" s="28" t="n">
        <f aca="false">IF(T50="",Q50,T50)</f>
        <v>0.000712623853888228</v>
      </c>
      <c r="Y50" s="20" t="str">
        <f aca="false">IF(S50="","",IF(O50&lt;S50,"Calc STRICTER (lower)","Calc more lenient (higher)"))</f>
        <v/>
      </c>
      <c r="Z50" s="20" t="str">
        <f aca="false">IF(B50="XL","Hemizygous male AF (grpmax)","grpmax FAF95; check SAS, IndiGen, GenomeIndia")</f>
        <v>grpmax FAF95; check SAS, IndiGen, GenomeIndia</v>
      </c>
      <c r="AA50" s="20"/>
      <c r="AB50" s="20" t="s">
        <v>171</v>
      </c>
    </row>
    <row r="51" customFormat="false" ht="15" hidden="false" customHeight="false" outlineLevel="0" collapsed="false">
      <c r="A51" s="19" t="s">
        <v>172</v>
      </c>
      <c r="B51" s="20" t="s">
        <v>96</v>
      </c>
      <c r="C51" s="20" t="s">
        <v>170</v>
      </c>
      <c r="D51" s="21" t="n">
        <f aca="false">SUMIF(Indian_Gene_Shares!$B$5:$B$47,A51,Indian_Gene_Shares!$G$5:$G$47)</f>
        <v>0</v>
      </c>
      <c r="E51" s="9" t="n">
        <f aca="false">IFERROR(INDEX(ARIDE_Cohort!$C$6:$C$207,MATCH(A51,ARIDE_Cohort!$A$6:$A$207,0)),0)</f>
        <v>0</v>
      </c>
      <c r="F51" s="22" t="n">
        <f aca="false">MAX(Inputs!$B$24,IF(AND(Inputs!$B$29="ARIDE cohort",ARIDE_Cohort!$B$3&gt;=Inputs!$B$30),E51,D51))</f>
        <v>0.01</v>
      </c>
      <c r="G51" s="20" t="str">
        <f aca="false">IF(AND(Inputs!$B$29="ARIDE cohort",ARIDE_Cohort!$B$3&gt;=Inputs!$B$30),IF(E51&gt;Inputs!$B$24,"ARIDE cohort","Floor (ARIDE share below floor)"),IF(D51&gt;Inputs!$B$24,"Indian literature",IF(D51&gt;0,"Floor (Indian share below floor)","Floor (no Indian data)")))</f>
        <v>Floor (no Indian data)</v>
      </c>
      <c r="H51" s="23" t="n">
        <f aca="false">IF(B51="AR",Inputs!$B$14,IF(B51="AD",Inputs!$B$15,Inputs!$B$16))</f>
        <v>1</v>
      </c>
      <c r="I51" s="12"/>
      <c r="J51" s="24" t="n">
        <f aca="false">IF(I51="",H51,I51)</f>
        <v>1</v>
      </c>
      <c r="K51" s="12"/>
      <c r="L51" s="24" t="n">
        <f aca="false">IF(K51="",Inputs!$B$20,K51)</f>
        <v>0.5</v>
      </c>
      <c r="M51" s="25" t="n">
        <f aca="false">IF(B51="AR",SQRT(Inputs!$B$9*F51/J51),IF(B51="AD",Inputs!$B$9*F51/(2*J51),2*Inputs!$B$9*F51/J51))</f>
        <v>0.00470090743184764</v>
      </c>
      <c r="N51" s="25" t="n">
        <f aca="false">IF(B51="AR",IF(Inputs!$B$25=0,SQRT(Inputs!$B$8*F51/J51),(-Inputs!$B$25+SQRT(Inputs!$B$25^2+4*(1-Inputs!$B$25)*Inputs!$B$8*F51/J51))/(2*(1-Inputs!$B$25))),IF(B51="AD",Inputs!$B$8*F51/(2*J51),2*Inputs!$B$8*F51/J51))</f>
        <v>0.00416319359719033</v>
      </c>
      <c r="O51" s="25" t="n">
        <f aca="false">MIN(Inputs!$B$26,M51*L51)</f>
        <v>0.00235045371592382</v>
      </c>
      <c r="P51" s="25" t="n">
        <f aca="false">MIN(Inputs!$B$26,O51*Inputs!$B$19)</f>
        <v>0.0235045371592382</v>
      </c>
      <c r="Q51" s="25" t="n">
        <f aca="false">MIN(O51,N51*Inputs!$B$21)</f>
        <v>0.000208159679859516</v>
      </c>
      <c r="R51" s="26"/>
      <c r="S51" s="26"/>
      <c r="T51" s="26"/>
      <c r="U51" s="20" t="str">
        <f aca="false">IF(COUNT(R51:T51)&gt;0,"Published spec (+calc where blank)","Calculated (this workbook)")</f>
        <v>Calculated (this workbook)</v>
      </c>
      <c r="V51" s="28" t="n">
        <f aca="false">IF(R51="",MAX(P51,W51),R51)</f>
        <v>0.0235045371592382</v>
      </c>
      <c r="W51" s="28" t="n">
        <f aca="false">IF(S51="",O51,S51)</f>
        <v>0.00235045371592382</v>
      </c>
      <c r="X51" s="28" t="n">
        <f aca="false">IF(T51="",Q51,T51)</f>
        <v>0.000208159679859516</v>
      </c>
      <c r="Y51" s="20" t="str">
        <f aca="false">IF(S51="","",IF(O51&lt;S51,"Calc STRICTER (lower)","Calc more lenient (higher)"))</f>
        <v/>
      </c>
      <c r="Z51" s="20" t="str">
        <f aca="false">IF(B51="XL","Hemizygous male AF (grpmax)","grpmax FAF95; check SAS, IndiGen, GenomeIndia")</f>
        <v>grpmax FAF95; check SAS, IndiGen, GenomeIndia</v>
      </c>
      <c r="AA51" s="20"/>
      <c r="AB51" s="20"/>
    </row>
    <row r="52" customFormat="false" ht="15" hidden="false" customHeight="false" outlineLevel="0" collapsed="false">
      <c r="A52" s="19" t="s">
        <v>173</v>
      </c>
      <c r="B52" s="20" t="s">
        <v>149</v>
      </c>
      <c r="C52" s="20" t="s">
        <v>174</v>
      </c>
      <c r="D52" s="21" t="n">
        <f aca="false">SUMIF(Indian_Gene_Shares!$B$5:$B$47,A52,Indian_Gene_Shares!$G$5:$G$47)</f>
        <v>0</v>
      </c>
      <c r="E52" s="9" t="n">
        <f aca="false">IFERROR(INDEX(ARIDE_Cohort!$C$6:$C$207,MATCH(A52,ARIDE_Cohort!$A$6:$A$207,0)),0)</f>
        <v>0</v>
      </c>
      <c r="F52" s="22" t="n">
        <f aca="false">MAX(Inputs!$B$24,IF(AND(Inputs!$B$29="ARIDE cohort",ARIDE_Cohort!$B$3&gt;=Inputs!$B$30),E52,D52))</f>
        <v>0.01</v>
      </c>
      <c r="G52" s="20" t="str">
        <f aca="false">IF(AND(Inputs!$B$29="ARIDE cohort",ARIDE_Cohort!$B$3&gt;=Inputs!$B$30),IF(E52&gt;Inputs!$B$24,"ARIDE cohort","Floor (ARIDE share below floor)"),IF(D52&gt;Inputs!$B$24,"Indian literature",IF(D52&gt;0,"Floor (Indian share below floor)","Floor (no Indian data)")))</f>
        <v>Floor (no Indian data)</v>
      </c>
      <c r="H52" s="23" t="n">
        <f aca="false">IF(B52="AR",Inputs!$B$14,IF(B52="AD",Inputs!$B$15,Inputs!$B$16))</f>
        <v>1</v>
      </c>
      <c r="I52" s="12"/>
      <c r="J52" s="24" t="n">
        <f aca="false">IF(I52="",H52,I52)</f>
        <v>1</v>
      </c>
      <c r="K52" s="12"/>
      <c r="L52" s="24" t="n">
        <f aca="false">IF(K52="",Inputs!$B$20,K52)</f>
        <v>0.5</v>
      </c>
      <c r="M52" s="25" t="n">
        <f aca="false">IF(B52="AR",SQRT(Inputs!$B$9*F52/J52),IF(B52="AD",Inputs!$B$9*F52/(2*J52),2*Inputs!$B$9*F52/J52))</f>
        <v>4.41970613656007E-005</v>
      </c>
      <c r="N52" s="25" t="n">
        <f aca="false">IF(B52="AR",IF(Inputs!$B$25=0,SQRT(Inputs!$B$8*F52/J52),(-Inputs!$B$25+SQRT(Inputs!$B$25^2+4*(1-Inputs!$B$25)*Inputs!$B$8*F52/J52))/(2*(1-Inputs!$B$25))),IF(B52="AD",Inputs!$B$8*F52/(2*J52),2*Inputs!$B$8*F52/J52))</f>
        <v>3.46643618553731E-005</v>
      </c>
      <c r="O52" s="25" t="n">
        <f aca="false">MIN(Inputs!$B$26,M52*L52)</f>
        <v>2.20985306828003E-005</v>
      </c>
      <c r="P52" s="25" t="n">
        <f aca="false">MIN(Inputs!$B$26,O52*Inputs!$B$19)</f>
        <v>0.000220985306828003</v>
      </c>
      <c r="Q52" s="25" t="n">
        <f aca="false">MIN(O52,N52*Inputs!$B$21)</f>
        <v>1.73321809276865E-006</v>
      </c>
      <c r="R52" s="26"/>
      <c r="S52" s="26"/>
      <c r="T52" s="26"/>
      <c r="U52" s="20" t="str">
        <f aca="false">IF(COUNT(R52:T52)&gt;0,"Published spec (+calc where blank)","Calculated (this workbook)")</f>
        <v>Calculated (this workbook)</v>
      </c>
      <c r="V52" s="28" t="n">
        <f aca="false">IF(R52="",MAX(P52,W52),R52)</f>
        <v>0.000220985306828003</v>
      </c>
      <c r="W52" s="28" t="n">
        <f aca="false">IF(S52="",O52,S52)</f>
        <v>2.20985306828003E-005</v>
      </c>
      <c r="X52" s="28" t="n">
        <f aca="false">IF(T52="",Q52,T52)</f>
        <v>1.73321809276865E-006</v>
      </c>
      <c r="Y52" s="20" t="str">
        <f aca="false">IF(S52="","",IF(O52&lt;S52,"Calc STRICTER (lower)","Calc more lenient (higher)"))</f>
        <v/>
      </c>
      <c r="Z52" s="20" t="str">
        <f aca="false">IF(B52="XL","Hemizygous male AF (grpmax)","grpmax FAF95; check SAS, IndiGen, GenomeIndia")</f>
        <v>Hemizygous male AF (grpmax)</v>
      </c>
      <c r="AA52" s="20"/>
      <c r="AB52" s="20"/>
    </row>
    <row r="53" customFormat="false" ht="15" hidden="false" customHeight="false" outlineLevel="0" collapsed="false">
      <c r="A53" s="19" t="s">
        <v>175</v>
      </c>
      <c r="B53" s="20" t="s">
        <v>96</v>
      </c>
      <c r="C53" s="20" t="s">
        <v>105</v>
      </c>
      <c r="D53" s="21" t="n">
        <f aca="false">SUMIF(Indian_Gene_Shares!$B$5:$B$47,A53,Indian_Gene_Shares!$G$5:$G$47)</f>
        <v>0</v>
      </c>
      <c r="E53" s="9" t="n">
        <f aca="false">IFERROR(INDEX(ARIDE_Cohort!$C$6:$C$207,MATCH(A53,ARIDE_Cohort!$A$6:$A$207,0)),0)</f>
        <v>0</v>
      </c>
      <c r="F53" s="22" t="n">
        <f aca="false">MAX(Inputs!$B$24,IF(AND(Inputs!$B$29="ARIDE cohort",ARIDE_Cohort!$B$3&gt;=Inputs!$B$30),E53,D53))</f>
        <v>0.01</v>
      </c>
      <c r="G53" s="20" t="str">
        <f aca="false">IF(AND(Inputs!$B$29="ARIDE cohort",ARIDE_Cohort!$B$3&gt;=Inputs!$B$30),IF(E53&gt;Inputs!$B$24,"ARIDE cohort","Floor (ARIDE share below floor)"),IF(D53&gt;Inputs!$B$24,"Indian literature",IF(D53&gt;0,"Floor (Indian share below floor)","Floor (no Indian data)")))</f>
        <v>Floor (no Indian data)</v>
      </c>
      <c r="H53" s="23" t="n">
        <f aca="false">IF(B53="AR",Inputs!$B$14,IF(B53="AD",Inputs!$B$15,Inputs!$B$16))</f>
        <v>1</v>
      </c>
      <c r="I53" s="12"/>
      <c r="J53" s="24" t="n">
        <f aca="false">IF(I53="",H53,I53)</f>
        <v>1</v>
      </c>
      <c r="K53" s="12"/>
      <c r="L53" s="24" t="n">
        <f aca="false">IF(K53="",Inputs!$B$20,K53)</f>
        <v>0.5</v>
      </c>
      <c r="M53" s="25" t="n">
        <f aca="false">IF(B53="AR",SQRT(Inputs!$B$9*F53/J53),IF(B53="AD",Inputs!$B$9*F53/(2*J53),2*Inputs!$B$9*F53/J53))</f>
        <v>0.00470090743184764</v>
      </c>
      <c r="N53" s="25" t="n">
        <f aca="false">IF(B53="AR",IF(Inputs!$B$25=0,SQRT(Inputs!$B$8*F53/J53),(-Inputs!$B$25+SQRT(Inputs!$B$25^2+4*(1-Inputs!$B$25)*Inputs!$B$8*F53/J53))/(2*(1-Inputs!$B$25))),IF(B53="AD",Inputs!$B$8*F53/(2*J53),2*Inputs!$B$8*F53/J53))</f>
        <v>0.00416319359719033</v>
      </c>
      <c r="O53" s="25" t="n">
        <f aca="false">MIN(Inputs!$B$26,M53*L53)</f>
        <v>0.00235045371592382</v>
      </c>
      <c r="P53" s="25" t="n">
        <f aca="false">MIN(Inputs!$B$26,O53*Inputs!$B$19)</f>
        <v>0.0235045371592382</v>
      </c>
      <c r="Q53" s="25" t="n">
        <f aca="false">MIN(O53,N53*Inputs!$B$21)</f>
        <v>0.000208159679859516</v>
      </c>
      <c r="R53" s="26"/>
      <c r="S53" s="26"/>
      <c r="T53" s="26"/>
      <c r="U53" s="20" t="str">
        <f aca="false">IF(COUNT(R53:T53)&gt;0,"Published spec (+calc where blank)","Calculated (this workbook)")</f>
        <v>Calculated (this workbook)</v>
      </c>
      <c r="V53" s="28" t="n">
        <f aca="false">IF(R53="",MAX(P53,W53),R53)</f>
        <v>0.0235045371592382</v>
      </c>
      <c r="W53" s="28" t="n">
        <f aca="false">IF(S53="",O53,S53)</f>
        <v>0.00235045371592382</v>
      </c>
      <c r="X53" s="28" t="n">
        <f aca="false">IF(T53="",Q53,T53)</f>
        <v>0.000208159679859516</v>
      </c>
      <c r="Y53" s="20" t="str">
        <f aca="false">IF(S53="","",IF(O53&lt;S53,"Calc STRICTER (lower)","Calc more lenient (higher)"))</f>
        <v/>
      </c>
      <c r="Z53" s="20" t="str">
        <f aca="false">IF(B53="XL","Hemizygous male AF (grpmax)","grpmax FAF95; check SAS, IndiGen, GenomeIndia")</f>
        <v>grpmax FAF95; check SAS, IndiGen, GenomeIndia</v>
      </c>
      <c r="AA53" s="20"/>
      <c r="AB53" s="20"/>
    </row>
    <row r="54" customFormat="false" ht="15" hidden="false" customHeight="false" outlineLevel="0" collapsed="false">
      <c r="A54" s="19" t="s">
        <v>176</v>
      </c>
      <c r="B54" s="20" t="s">
        <v>96</v>
      </c>
      <c r="C54" s="20" t="s">
        <v>177</v>
      </c>
      <c r="D54" s="21" t="n">
        <f aca="false">SUMIF(Indian_Gene_Shares!$B$5:$B$47,A54,Indian_Gene_Shares!$G$5:$G$47)</f>
        <v>0</v>
      </c>
      <c r="E54" s="9" t="n">
        <f aca="false">IFERROR(INDEX(ARIDE_Cohort!$C$6:$C$207,MATCH(A54,ARIDE_Cohort!$A$6:$A$207,0)),0)</f>
        <v>0</v>
      </c>
      <c r="F54" s="22" t="n">
        <f aca="false">MAX(Inputs!$B$24,IF(AND(Inputs!$B$29="ARIDE cohort",ARIDE_Cohort!$B$3&gt;=Inputs!$B$30),E54,D54))</f>
        <v>0.01</v>
      </c>
      <c r="G54" s="20" t="str">
        <f aca="false">IF(AND(Inputs!$B$29="ARIDE cohort",ARIDE_Cohort!$B$3&gt;=Inputs!$B$30),IF(E54&gt;Inputs!$B$24,"ARIDE cohort","Floor (ARIDE share below floor)"),IF(D54&gt;Inputs!$B$24,"Indian literature",IF(D54&gt;0,"Floor (Indian share below floor)","Floor (no Indian data)")))</f>
        <v>Floor (no Indian data)</v>
      </c>
      <c r="H54" s="23" t="n">
        <f aca="false">IF(B54="AR",Inputs!$B$14,IF(B54="AD",Inputs!$B$15,Inputs!$B$16))</f>
        <v>1</v>
      </c>
      <c r="I54" s="12"/>
      <c r="J54" s="24" t="n">
        <f aca="false">IF(I54="",H54,I54)</f>
        <v>1</v>
      </c>
      <c r="K54" s="12"/>
      <c r="L54" s="24" t="n">
        <f aca="false">IF(K54="",Inputs!$B$20,K54)</f>
        <v>0.5</v>
      </c>
      <c r="M54" s="25" t="n">
        <f aca="false">IF(B54="AR",SQRT(Inputs!$B$9*F54/J54),IF(B54="AD",Inputs!$B$9*F54/(2*J54),2*Inputs!$B$9*F54/J54))</f>
        <v>0.00470090743184764</v>
      </c>
      <c r="N54" s="25" t="n">
        <f aca="false">IF(B54="AR",IF(Inputs!$B$25=0,SQRT(Inputs!$B$8*F54/J54),(-Inputs!$B$25+SQRT(Inputs!$B$25^2+4*(1-Inputs!$B$25)*Inputs!$B$8*F54/J54))/(2*(1-Inputs!$B$25))),IF(B54="AD",Inputs!$B$8*F54/(2*J54),2*Inputs!$B$8*F54/J54))</f>
        <v>0.00416319359719033</v>
      </c>
      <c r="O54" s="25" t="n">
        <f aca="false">MIN(Inputs!$B$26,M54*L54)</f>
        <v>0.00235045371592382</v>
      </c>
      <c r="P54" s="25" t="n">
        <f aca="false">MIN(Inputs!$B$26,O54*Inputs!$B$19)</f>
        <v>0.0235045371592382</v>
      </c>
      <c r="Q54" s="25" t="n">
        <f aca="false">MIN(O54,N54*Inputs!$B$21)</f>
        <v>0.000208159679859516</v>
      </c>
      <c r="R54" s="26"/>
      <c r="S54" s="26"/>
      <c r="T54" s="26"/>
      <c r="U54" s="20" t="str">
        <f aca="false">IF(COUNT(R54:T54)&gt;0,"Published spec (+calc where blank)","Calculated (this workbook)")</f>
        <v>Calculated (this workbook)</v>
      </c>
      <c r="V54" s="28" t="n">
        <f aca="false">IF(R54="",MAX(P54,W54),R54)</f>
        <v>0.0235045371592382</v>
      </c>
      <c r="W54" s="28" t="n">
        <f aca="false">IF(S54="",O54,S54)</f>
        <v>0.00235045371592382</v>
      </c>
      <c r="X54" s="28" t="n">
        <f aca="false">IF(T54="",Q54,T54)</f>
        <v>0.000208159679859516</v>
      </c>
      <c r="Y54" s="20" t="str">
        <f aca="false">IF(S54="","",IF(O54&lt;S54,"Calc STRICTER (lower)","Calc more lenient (higher)"))</f>
        <v/>
      </c>
      <c r="Z54" s="20" t="str">
        <f aca="false">IF(B54="XL","Hemizygous male AF (grpmax)","grpmax FAF95; check SAS, IndiGen, GenomeIndia")</f>
        <v>grpmax FAF95; check SAS, IndiGen, GenomeIndia</v>
      </c>
      <c r="AA54" s="20"/>
      <c r="AB54" s="20"/>
    </row>
    <row r="55" customFormat="false" ht="15" hidden="false" customHeight="false" outlineLevel="0" collapsed="false">
      <c r="A55" s="19" t="s">
        <v>178</v>
      </c>
      <c r="B55" s="20" t="s">
        <v>96</v>
      </c>
      <c r="C55" s="20" t="s">
        <v>179</v>
      </c>
      <c r="D55" s="21" t="n">
        <f aca="false">SUMIF(Indian_Gene_Shares!$B$5:$B$47,A55,Indian_Gene_Shares!$G$5:$G$47)</f>
        <v>0</v>
      </c>
      <c r="E55" s="9" t="n">
        <f aca="false">IFERROR(INDEX(ARIDE_Cohort!$C$6:$C$207,MATCH(A55,ARIDE_Cohort!$A$6:$A$207,0)),0)</f>
        <v>0</v>
      </c>
      <c r="F55" s="22" t="n">
        <f aca="false">MAX(Inputs!$B$24,IF(AND(Inputs!$B$29="ARIDE cohort",ARIDE_Cohort!$B$3&gt;=Inputs!$B$30),E55,D55))</f>
        <v>0.01</v>
      </c>
      <c r="G55" s="20" t="str">
        <f aca="false">IF(AND(Inputs!$B$29="ARIDE cohort",ARIDE_Cohort!$B$3&gt;=Inputs!$B$30),IF(E55&gt;Inputs!$B$24,"ARIDE cohort","Floor (ARIDE share below floor)"),IF(D55&gt;Inputs!$B$24,"Indian literature",IF(D55&gt;0,"Floor (Indian share below floor)","Floor (no Indian data)")))</f>
        <v>Floor (no Indian data)</v>
      </c>
      <c r="H55" s="23" t="n">
        <f aca="false">IF(B55="AR",Inputs!$B$14,IF(B55="AD",Inputs!$B$15,Inputs!$B$16))</f>
        <v>1</v>
      </c>
      <c r="I55" s="12"/>
      <c r="J55" s="24" t="n">
        <f aca="false">IF(I55="",H55,I55)</f>
        <v>1</v>
      </c>
      <c r="K55" s="12"/>
      <c r="L55" s="24" t="n">
        <f aca="false">IF(K55="",Inputs!$B$20,K55)</f>
        <v>0.5</v>
      </c>
      <c r="M55" s="25" t="n">
        <f aca="false">IF(B55="AR",SQRT(Inputs!$B$9*F55/J55),IF(B55="AD",Inputs!$B$9*F55/(2*J55),2*Inputs!$B$9*F55/J55))</f>
        <v>0.00470090743184764</v>
      </c>
      <c r="N55" s="25" t="n">
        <f aca="false">IF(B55="AR",IF(Inputs!$B$25=0,SQRT(Inputs!$B$8*F55/J55),(-Inputs!$B$25+SQRT(Inputs!$B$25^2+4*(1-Inputs!$B$25)*Inputs!$B$8*F55/J55))/(2*(1-Inputs!$B$25))),IF(B55="AD",Inputs!$B$8*F55/(2*J55),2*Inputs!$B$8*F55/J55))</f>
        <v>0.00416319359719033</v>
      </c>
      <c r="O55" s="25" t="n">
        <f aca="false">MIN(Inputs!$B$26,M55*L55)</f>
        <v>0.00235045371592382</v>
      </c>
      <c r="P55" s="25" t="n">
        <f aca="false">MIN(Inputs!$B$26,O55*Inputs!$B$19)</f>
        <v>0.0235045371592382</v>
      </c>
      <c r="Q55" s="25" t="n">
        <f aca="false">MIN(O55,N55*Inputs!$B$21)</f>
        <v>0.000208159679859516</v>
      </c>
      <c r="R55" s="26"/>
      <c r="S55" s="26"/>
      <c r="T55" s="26"/>
      <c r="U55" s="20" t="str">
        <f aca="false">IF(COUNT(R55:T55)&gt;0,"Published spec (+calc where blank)","Calculated (this workbook)")</f>
        <v>Calculated (this workbook)</v>
      </c>
      <c r="V55" s="28" t="n">
        <f aca="false">IF(R55="",MAX(P55,W55),R55)</f>
        <v>0.0235045371592382</v>
      </c>
      <c r="W55" s="28" t="n">
        <f aca="false">IF(S55="",O55,S55)</f>
        <v>0.00235045371592382</v>
      </c>
      <c r="X55" s="28" t="n">
        <f aca="false">IF(T55="",Q55,T55)</f>
        <v>0.000208159679859516</v>
      </c>
      <c r="Y55" s="20" t="str">
        <f aca="false">IF(S55="","",IF(O55&lt;S55,"Calc STRICTER (lower)","Calc more lenient (higher)"))</f>
        <v/>
      </c>
      <c r="Z55" s="20" t="str">
        <f aca="false">IF(B55="XL","Hemizygous male AF (grpmax)","grpmax FAF95; check SAS, IndiGen, GenomeIndia")</f>
        <v>grpmax FAF95; check SAS, IndiGen, GenomeIndia</v>
      </c>
      <c r="AA55" s="20"/>
      <c r="AB55" s="20"/>
    </row>
    <row r="56" customFormat="false" ht="15" hidden="false" customHeight="false" outlineLevel="0" collapsed="false">
      <c r="A56" s="19" t="s">
        <v>180</v>
      </c>
      <c r="B56" s="20" t="s">
        <v>96</v>
      </c>
      <c r="C56" s="20" t="s">
        <v>181</v>
      </c>
      <c r="D56" s="21" t="n">
        <f aca="false">SUMIF(Indian_Gene_Shares!$B$5:$B$47,A56,Indian_Gene_Shares!$G$5:$G$47)</f>
        <v>0</v>
      </c>
      <c r="E56" s="9" t="n">
        <f aca="false">IFERROR(INDEX(ARIDE_Cohort!$C$6:$C$207,MATCH(A56,ARIDE_Cohort!$A$6:$A$207,0)),0)</f>
        <v>0</v>
      </c>
      <c r="F56" s="22" t="n">
        <f aca="false">MAX(Inputs!$B$24,IF(AND(Inputs!$B$29="ARIDE cohort",ARIDE_Cohort!$B$3&gt;=Inputs!$B$30),E56,D56))</f>
        <v>0.01</v>
      </c>
      <c r="G56" s="20" t="str">
        <f aca="false">IF(AND(Inputs!$B$29="ARIDE cohort",ARIDE_Cohort!$B$3&gt;=Inputs!$B$30),IF(E56&gt;Inputs!$B$24,"ARIDE cohort","Floor (ARIDE share below floor)"),IF(D56&gt;Inputs!$B$24,"Indian literature",IF(D56&gt;0,"Floor (Indian share below floor)","Floor (no Indian data)")))</f>
        <v>Floor (no Indian data)</v>
      </c>
      <c r="H56" s="23" t="n">
        <f aca="false">IF(B56="AR",Inputs!$B$14,IF(B56="AD",Inputs!$B$15,Inputs!$B$16))</f>
        <v>1</v>
      </c>
      <c r="I56" s="12"/>
      <c r="J56" s="24" t="n">
        <f aca="false">IF(I56="",H56,I56)</f>
        <v>1</v>
      </c>
      <c r="K56" s="12"/>
      <c r="L56" s="24" t="n">
        <f aca="false">IF(K56="",Inputs!$B$20,K56)</f>
        <v>0.5</v>
      </c>
      <c r="M56" s="25" t="n">
        <f aca="false">IF(B56="AR",SQRT(Inputs!$B$9*F56/J56),IF(B56="AD",Inputs!$B$9*F56/(2*J56),2*Inputs!$B$9*F56/J56))</f>
        <v>0.00470090743184764</v>
      </c>
      <c r="N56" s="25" t="n">
        <f aca="false">IF(B56="AR",IF(Inputs!$B$25=0,SQRT(Inputs!$B$8*F56/J56),(-Inputs!$B$25+SQRT(Inputs!$B$25^2+4*(1-Inputs!$B$25)*Inputs!$B$8*F56/J56))/(2*(1-Inputs!$B$25))),IF(B56="AD",Inputs!$B$8*F56/(2*J56),2*Inputs!$B$8*F56/J56))</f>
        <v>0.00416319359719033</v>
      </c>
      <c r="O56" s="25" t="n">
        <f aca="false">MIN(Inputs!$B$26,M56*L56)</f>
        <v>0.00235045371592382</v>
      </c>
      <c r="P56" s="25" t="n">
        <f aca="false">MIN(Inputs!$B$26,O56*Inputs!$B$19)</f>
        <v>0.0235045371592382</v>
      </c>
      <c r="Q56" s="25" t="n">
        <f aca="false">MIN(O56,N56*Inputs!$B$21)</f>
        <v>0.000208159679859516</v>
      </c>
      <c r="R56" s="26"/>
      <c r="S56" s="26"/>
      <c r="T56" s="26"/>
      <c r="U56" s="20" t="str">
        <f aca="false">IF(COUNT(R56:T56)&gt;0,"Published spec (+calc where blank)","Calculated (this workbook)")</f>
        <v>Calculated (this workbook)</v>
      </c>
      <c r="V56" s="28" t="n">
        <f aca="false">IF(R56="",MAX(P56,W56),R56)</f>
        <v>0.0235045371592382</v>
      </c>
      <c r="W56" s="28" t="n">
        <f aca="false">IF(S56="",O56,S56)</f>
        <v>0.00235045371592382</v>
      </c>
      <c r="X56" s="28" t="n">
        <f aca="false">IF(T56="",Q56,T56)</f>
        <v>0.000208159679859516</v>
      </c>
      <c r="Y56" s="20" t="str">
        <f aca="false">IF(S56="","",IF(O56&lt;S56,"Calc STRICTER (lower)","Calc more lenient (higher)"))</f>
        <v/>
      </c>
      <c r="Z56" s="20" t="str">
        <f aca="false">IF(B56="XL","Hemizygous male AF (grpmax)","grpmax FAF95; check SAS, IndiGen, GenomeIndia")</f>
        <v>grpmax FAF95; check SAS, IndiGen, GenomeIndia</v>
      </c>
      <c r="AA56" s="20"/>
      <c r="AB56" s="20"/>
    </row>
    <row r="57" customFormat="false" ht="15" hidden="false" customHeight="false" outlineLevel="0" collapsed="false">
      <c r="A57" s="19" t="s">
        <v>182</v>
      </c>
      <c r="B57" s="20" t="s">
        <v>96</v>
      </c>
      <c r="C57" s="20" t="s">
        <v>105</v>
      </c>
      <c r="D57" s="21" t="n">
        <f aca="false">SUMIF(Indian_Gene_Shares!$B$5:$B$47,A57,Indian_Gene_Shares!$G$5:$G$47)</f>
        <v>0.0230784574468085</v>
      </c>
      <c r="E57" s="9" t="n">
        <f aca="false">IFERROR(INDEX(ARIDE_Cohort!$C$6:$C$207,MATCH(A57,ARIDE_Cohort!$A$6:$A$207,0)),0)</f>
        <v>0</v>
      </c>
      <c r="F57" s="22" t="n">
        <f aca="false">MAX(Inputs!$B$24,IF(AND(Inputs!$B$29="ARIDE cohort",ARIDE_Cohort!$B$3&gt;=Inputs!$B$30),E57,D57))</f>
        <v>0.0230784574468085</v>
      </c>
      <c r="G57" s="20" t="str">
        <f aca="false">IF(AND(Inputs!$B$29="ARIDE cohort",ARIDE_Cohort!$B$3&gt;=Inputs!$B$30),IF(E57&gt;Inputs!$B$24,"ARIDE cohort","Floor (ARIDE share below floor)"),IF(D57&gt;Inputs!$B$24,"Indian literature",IF(D57&gt;0,"Floor (Indian share below floor)","Floor (no Indian data)")))</f>
        <v>Indian literature</v>
      </c>
      <c r="H57" s="23" t="n">
        <f aca="false">IF(B57="AR",Inputs!$B$14,IF(B57="AD",Inputs!$B$15,Inputs!$B$16))</f>
        <v>1</v>
      </c>
      <c r="I57" s="12"/>
      <c r="J57" s="24" t="n">
        <f aca="false">IF(I57="",H57,I57)</f>
        <v>1</v>
      </c>
      <c r="K57" s="12"/>
      <c r="L57" s="24" t="n">
        <f aca="false">IF(K57="",Inputs!$B$20,K57)</f>
        <v>0.5</v>
      </c>
      <c r="M57" s="25" t="n">
        <f aca="false">IF(B57="AR",SQRT(Inputs!$B$9*F57/J57),IF(B57="AD",Inputs!$B$9*F57/(2*J57),2*Inputs!$B$9*F57/J57))</f>
        <v>0.00714142842854285</v>
      </c>
      <c r="N57" s="25" t="n">
        <f aca="false">IF(B57="AR",IF(Inputs!$B$25=0,SQRT(Inputs!$B$8*F57/J57),(-Inputs!$B$25+SQRT(Inputs!$B$25^2+4*(1-Inputs!$B$25)*Inputs!$B$8*F57/J57))/(2*(1-Inputs!$B$25))),IF(B57="AD",Inputs!$B$8*F57/(2*J57),2*Inputs!$B$8*F57/J57))</f>
        <v>0.00632455532033676</v>
      </c>
      <c r="O57" s="25" t="n">
        <f aca="false">MIN(Inputs!$B$26,M57*L57)</f>
        <v>0.00357071421427143</v>
      </c>
      <c r="P57" s="25" t="n">
        <f aca="false">MIN(Inputs!$B$26,O57*Inputs!$B$19)</f>
        <v>0.0357071421427143</v>
      </c>
      <c r="Q57" s="25" t="n">
        <f aca="false">MIN(O57,N57*Inputs!$B$21)</f>
        <v>0.000316227766016838</v>
      </c>
      <c r="R57" s="26"/>
      <c r="S57" s="26"/>
      <c r="T57" s="26"/>
      <c r="U57" s="20" t="str">
        <f aca="false">IF(COUNT(R57:T57)&gt;0,"Published spec (+calc where blank)","Calculated (this workbook)")</f>
        <v>Calculated (this workbook)</v>
      </c>
      <c r="V57" s="28" t="n">
        <f aca="false">IF(R57="",MAX(P57,W57),R57)</f>
        <v>0.0357071421427143</v>
      </c>
      <c r="W57" s="28" t="n">
        <f aca="false">IF(S57="",O57,S57)</f>
        <v>0.00357071421427143</v>
      </c>
      <c r="X57" s="28" t="n">
        <f aca="false">IF(T57="",Q57,T57)</f>
        <v>0.000316227766016838</v>
      </c>
      <c r="Y57" s="20" t="str">
        <f aca="false">IF(S57="","",IF(O57&lt;S57,"Calc STRICTER (lower)","Calc more lenient (higher)"))</f>
        <v/>
      </c>
      <c r="Z57" s="20" t="str">
        <f aca="false">IF(B57="XL","Hemizygous male AF (grpmax)","grpmax FAF95; check SAS, IndiGen, GenomeIndia")</f>
        <v>grpmax FAF95; check SAS, IndiGen, GenomeIndia</v>
      </c>
      <c r="AA57" s="20"/>
      <c r="AB57" s="20"/>
    </row>
    <row r="58" customFormat="false" ht="15" hidden="false" customHeight="false" outlineLevel="0" collapsed="false">
      <c r="A58" s="19" t="s">
        <v>183</v>
      </c>
      <c r="B58" s="20" t="s">
        <v>96</v>
      </c>
      <c r="C58" s="20" t="s">
        <v>127</v>
      </c>
      <c r="D58" s="21" t="n">
        <f aca="false">SUMIF(Indian_Gene_Shares!$B$5:$B$47,A58,Indian_Gene_Shares!$G$5:$G$47)</f>
        <v>0.00592670972644377</v>
      </c>
      <c r="E58" s="9" t="n">
        <f aca="false">IFERROR(INDEX(ARIDE_Cohort!$C$6:$C$207,MATCH(A58,ARIDE_Cohort!$A$6:$A$207,0)),0)</f>
        <v>0</v>
      </c>
      <c r="F58" s="22" t="n">
        <f aca="false">MAX(Inputs!$B$24,IF(AND(Inputs!$B$29="ARIDE cohort",ARIDE_Cohort!$B$3&gt;=Inputs!$B$30),E58,D58))</f>
        <v>0.01</v>
      </c>
      <c r="G58" s="20" t="str">
        <f aca="false">IF(AND(Inputs!$B$29="ARIDE cohort",ARIDE_Cohort!$B$3&gt;=Inputs!$B$30),IF(E58&gt;Inputs!$B$24,"ARIDE cohort","Floor (ARIDE share below floor)"),IF(D58&gt;Inputs!$B$24,"Indian literature",IF(D58&gt;0,"Floor (Indian share below floor)","Floor (no Indian data)")))</f>
        <v>Floor (Indian share below floor)</v>
      </c>
      <c r="H58" s="23" t="n">
        <f aca="false">IF(B58="AR",Inputs!$B$14,IF(B58="AD",Inputs!$B$15,Inputs!$B$16))</f>
        <v>1</v>
      </c>
      <c r="I58" s="12"/>
      <c r="J58" s="24" t="n">
        <f aca="false">IF(I58="",H58,I58)</f>
        <v>1</v>
      </c>
      <c r="K58" s="12"/>
      <c r="L58" s="24" t="n">
        <f aca="false">IF(K58="",Inputs!$B$20,K58)</f>
        <v>0.5</v>
      </c>
      <c r="M58" s="25" t="n">
        <f aca="false">IF(B58="AR",SQRT(Inputs!$B$9*F58/J58),IF(B58="AD",Inputs!$B$9*F58/(2*J58),2*Inputs!$B$9*F58/J58))</f>
        <v>0.00470090743184764</v>
      </c>
      <c r="N58" s="25" t="n">
        <f aca="false">IF(B58="AR",IF(Inputs!$B$25=0,SQRT(Inputs!$B$8*F58/J58),(-Inputs!$B$25+SQRT(Inputs!$B$25^2+4*(1-Inputs!$B$25)*Inputs!$B$8*F58/J58))/(2*(1-Inputs!$B$25))),IF(B58="AD",Inputs!$B$8*F58/(2*J58),2*Inputs!$B$8*F58/J58))</f>
        <v>0.00416319359719033</v>
      </c>
      <c r="O58" s="25" t="n">
        <f aca="false">MIN(Inputs!$B$26,M58*L58)</f>
        <v>0.00235045371592382</v>
      </c>
      <c r="P58" s="25" t="n">
        <f aca="false">MIN(Inputs!$B$26,O58*Inputs!$B$19)</f>
        <v>0.0235045371592382</v>
      </c>
      <c r="Q58" s="25" t="n">
        <f aca="false">MIN(O58,N58*Inputs!$B$21)</f>
        <v>0.000208159679859516</v>
      </c>
      <c r="R58" s="26"/>
      <c r="S58" s="26"/>
      <c r="T58" s="26"/>
      <c r="U58" s="20" t="str">
        <f aca="false">IF(COUNT(R58:T58)&gt;0,"Published spec (+calc where blank)","Calculated (this workbook)")</f>
        <v>Calculated (this workbook)</v>
      </c>
      <c r="V58" s="28" t="n">
        <f aca="false">IF(R58="",MAX(P58,W58),R58)</f>
        <v>0.0235045371592382</v>
      </c>
      <c r="W58" s="28" t="n">
        <f aca="false">IF(S58="",O58,S58)</f>
        <v>0.00235045371592382</v>
      </c>
      <c r="X58" s="28" t="n">
        <f aca="false">IF(T58="",Q58,T58)</f>
        <v>0.000208159679859516</v>
      </c>
      <c r="Y58" s="20" t="str">
        <f aca="false">IF(S58="","",IF(O58&lt;S58,"Calc STRICTER (lower)","Calc more lenient (higher)"))</f>
        <v/>
      </c>
      <c r="Z58" s="20" t="str">
        <f aca="false">IF(B58="XL","Hemizygous male AF (grpmax)","grpmax FAF95; check SAS, IndiGen, GenomeIndia")</f>
        <v>grpmax FAF95; check SAS, IndiGen, GenomeIndia</v>
      </c>
      <c r="AA58" s="20"/>
      <c r="AB58" s="20"/>
    </row>
    <row r="59" customFormat="false" ht="15" hidden="false" customHeight="false" outlineLevel="0" collapsed="false">
      <c r="A59" s="19" t="s">
        <v>184</v>
      </c>
      <c r="B59" s="20" t="s">
        <v>96</v>
      </c>
      <c r="C59" s="20" t="s">
        <v>105</v>
      </c>
      <c r="D59" s="21" t="n">
        <f aca="false">SUMIF(Indian_Gene_Shares!$B$5:$B$47,A59,Indian_Gene_Shares!$G$5:$G$47)</f>
        <v>0</v>
      </c>
      <c r="E59" s="9" t="n">
        <f aca="false">IFERROR(INDEX(ARIDE_Cohort!$C$6:$C$207,MATCH(A59,ARIDE_Cohort!$A$6:$A$207,0)),0)</f>
        <v>0</v>
      </c>
      <c r="F59" s="22" t="n">
        <f aca="false">MAX(Inputs!$B$24,IF(AND(Inputs!$B$29="ARIDE cohort",ARIDE_Cohort!$B$3&gt;=Inputs!$B$30),E59,D59))</f>
        <v>0.01</v>
      </c>
      <c r="G59" s="20" t="str">
        <f aca="false">IF(AND(Inputs!$B$29="ARIDE cohort",ARIDE_Cohort!$B$3&gt;=Inputs!$B$30),IF(E59&gt;Inputs!$B$24,"ARIDE cohort","Floor (ARIDE share below floor)"),IF(D59&gt;Inputs!$B$24,"Indian literature",IF(D59&gt;0,"Floor (Indian share below floor)","Floor (no Indian data)")))</f>
        <v>Floor (no Indian data)</v>
      </c>
      <c r="H59" s="23" t="n">
        <f aca="false">IF(B59="AR",Inputs!$B$14,IF(B59="AD",Inputs!$B$15,Inputs!$B$16))</f>
        <v>1</v>
      </c>
      <c r="I59" s="12"/>
      <c r="J59" s="24" t="n">
        <f aca="false">IF(I59="",H59,I59)</f>
        <v>1</v>
      </c>
      <c r="K59" s="12"/>
      <c r="L59" s="24" t="n">
        <f aca="false">IF(K59="",Inputs!$B$20,K59)</f>
        <v>0.5</v>
      </c>
      <c r="M59" s="25" t="n">
        <f aca="false">IF(B59="AR",SQRT(Inputs!$B$9*F59/J59),IF(B59="AD",Inputs!$B$9*F59/(2*J59),2*Inputs!$B$9*F59/J59))</f>
        <v>0.00470090743184764</v>
      </c>
      <c r="N59" s="25" t="n">
        <f aca="false">IF(B59="AR",IF(Inputs!$B$25=0,SQRT(Inputs!$B$8*F59/J59),(-Inputs!$B$25+SQRT(Inputs!$B$25^2+4*(1-Inputs!$B$25)*Inputs!$B$8*F59/J59))/(2*(1-Inputs!$B$25))),IF(B59="AD",Inputs!$B$8*F59/(2*J59),2*Inputs!$B$8*F59/J59))</f>
        <v>0.00416319359719033</v>
      </c>
      <c r="O59" s="25" t="n">
        <f aca="false">MIN(Inputs!$B$26,M59*L59)</f>
        <v>0.00235045371592382</v>
      </c>
      <c r="P59" s="25" t="n">
        <f aca="false">MIN(Inputs!$B$26,O59*Inputs!$B$19)</f>
        <v>0.0235045371592382</v>
      </c>
      <c r="Q59" s="25" t="n">
        <f aca="false">MIN(O59,N59*Inputs!$B$21)</f>
        <v>0.000208159679859516</v>
      </c>
      <c r="R59" s="26"/>
      <c r="S59" s="26"/>
      <c r="T59" s="26"/>
      <c r="U59" s="20" t="str">
        <f aca="false">IF(COUNT(R59:T59)&gt;0,"Published spec (+calc where blank)","Calculated (this workbook)")</f>
        <v>Calculated (this workbook)</v>
      </c>
      <c r="V59" s="28" t="n">
        <f aca="false">IF(R59="",MAX(P59,W59),R59)</f>
        <v>0.0235045371592382</v>
      </c>
      <c r="W59" s="28" t="n">
        <f aca="false">IF(S59="",O59,S59)</f>
        <v>0.00235045371592382</v>
      </c>
      <c r="X59" s="28" t="n">
        <f aca="false">IF(T59="",Q59,T59)</f>
        <v>0.000208159679859516</v>
      </c>
      <c r="Y59" s="20" t="str">
        <f aca="false">IF(S59="","",IF(O59&lt;S59,"Calc STRICTER (lower)","Calc more lenient (higher)"))</f>
        <v/>
      </c>
      <c r="Z59" s="20" t="str">
        <f aca="false">IF(B59="XL","Hemizygous male AF (grpmax)","grpmax FAF95; check SAS, IndiGen, GenomeIndia")</f>
        <v>grpmax FAF95; check SAS, IndiGen, GenomeIndia</v>
      </c>
      <c r="AA59" s="20"/>
      <c r="AB59" s="20"/>
    </row>
    <row r="60" customFormat="false" ht="15" hidden="false" customHeight="false" outlineLevel="0" collapsed="false">
      <c r="A60" s="19" t="s">
        <v>185</v>
      </c>
      <c r="B60" s="20" t="s">
        <v>96</v>
      </c>
      <c r="C60" s="20" t="s">
        <v>127</v>
      </c>
      <c r="D60" s="21" t="n">
        <f aca="false">SUMIF(Indian_Gene_Shares!$B$5:$B$47,A60,Indian_Gene_Shares!$G$5:$G$47)</f>
        <v>0</v>
      </c>
      <c r="E60" s="9" t="n">
        <f aca="false">IFERROR(INDEX(ARIDE_Cohort!$C$6:$C$207,MATCH(A60,ARIDE_Cohort!$A$6:$A$207,0)),0)</f>
        <v>0</v>
      </c>
      <c r="F60" s="22" t="n">
        <f aca="false">MAX(Inputs!$B$24,IF(AND(Inputs!$B$29="ARIDE cohort",ARIDE_Cohort!$B$3&gt;=Inputs!$B$30),E60,D60))</f>
        <v>0.01</v>
      </c>
      <c r="G60" s="20" t="str">
        <f aca="false">IF(AND(Inputs!$B$29="ARIDE cohort",ARIDE_Cohort!$B$3&gt;=Inputs!$B$30),IF(E60&gt;Inputs!$B$24,"ARIDE cohort","Floor (ARIDE share below floor)"),IF(D60&gt;Inputs!$B$24,"Indian literature",IF(D60&gt;0,"Floor (Indian share below floor)","Floor (no Indian data)")))</f>
        <v>Floor (no Indian data)</v>
      </c>
      <c r="H60" s="23" t="n">
        <f aca="false">IF(B60="AR",Inputs!$B$14,IF(B60="AD",Inputs!$B$15,Inputs!$B$16))</f>
        <v>1</v>
      </c>
      <c r="I60" s="12"/>
      <c r="J60" s="24" t="n">
        <f aca="false">IF(I60="",H60,I60)</f>
        <v>1</v>
      </c>
      <c r="K60" s="12"/>
      <c r="L60" s="24" t="n">
        <f aca="false">IF(K60="",Inputs!$B$20,K60)</f>
        <v>0.5</v>
      </c>
      <c r="M60" s="25" t="n">
        <f aca="false">IF(B60="AR",SQRT(Inputs!$B$9*F60/J60),IF(B60="AD",Inputs!$B$9*F60/(2*J60),2*Inputs!$B$9*F60/J60))</f>
        <v>0.00470090743184764</v>
      </c>
      <c r="N60" s="25" t="n">
        <f aca="false">IF(B60="AR",IF(Inputs!$B$25=0,SQRT(Inputs!$B$8*F60/J60),(-Inputs!$B$25+SQRT(Inputs!$B$25^2+4*(1-Inputs!$B$25)*Inputs!$B$8*F60/J60))/(2*(1-Inputs!$B$25))),IF(B60="AD",Inputs!$B$8*F60/(2*J60),2*Inputs!$B$8*F60/J60))</f>
        <v>0.00416319359719033</v>
      </c>
      <c r="O60" s="25" t="n">
        <f aca="false">MIN(Inputs!$B$26,M60*L60)</f>
        <v>0.00235045371592382</v>
      </c>
      <c r="P60" s="25" t="n">
        <f aca="false">MIN(Inputs!$B$26,O60*Inputs!$B$19)</f>
        <v>0.0235045371592382</v>
      </c>
      <c r="Q60" s="25" t="n">
        <f aca="false">MIN(O60,N60*Inputs!$B$21)</f>
        <v>0.000208159679859516</v>
      </c>
      <c r="R60" s="26"/>
      <c r="S60" s="26"/>
      <c r="T60" s="26"/>
      <c r="U60" s="20" t="str">
        <f aca="false">IF(COUNT(R60:T60)&gt;0,"Published spec (+calc where blank)","Calculated (this workbook)")</f>
        <v>Calculated (this workbook)</v>
      </c>
      <c r="V60" s="28" t="n">
        <f aca="false">IF(R60="",MAX(P60,W60),R60)</f>
        <v>0.0235045371592382</v>
      </c>
      <c r="W60" s="28" t="n">
        <f aca="false">IF(S60="",O60,S60)</f>
        <v>0.00235045371592382</v>
      </c>
      <c r="X60" s="28" t="n">
        <f aca="false">IF(T60="",Q60,T60)</f>
        <v>0.000208159679859516</v>
      </c>
      <c r="Y60" s="20" t="str">
        <f aca="false">IF(S60="","",IF(O60&lt;S60,"Calc STRICTER (lower)","Calc more lenient (higher)"))</f>
        <v/>
      </c>
      <c r="Z60" s="20" t="str">
        <f aca="false">IF(B60="XL","Hemizygous male AF (grpmax)","grpmax FAF95; check SAS, IndiGen, GenomeIndia")</f>
        <v>grpmax FAF95; check SAS, IndiGen, GenomeIndia</v>
      </c>
      <c r="AA60" s="20"/>
      <c r="AB60" s="20"/>
    </row>
    <row r="61" customFormat="false" ht="15" hidden="false" customHeight="false" outlineLevel="0" collapsed="false">
      <c r="A61" s="19" t="s">
        <v>186</v>
      </c>
      <c r="B61" s="20" t="s">
        <v>96</v>
      </c>
      <c r="C61" s="20" t="s">
        <v>187</v>
      </c>
      <c r="D61" s="21" t="n">
        <f aca="false">SUMIF(Indian_Gene_Shares!$B$5:$B$47,A61,Indian_Gene_Shares!$G$5:$G$47)</f>
        <v>0</v>
      </c>
      <c r="E61" s="9" t="n">
        <f aca="false">IFERROR(INDEX(ARIDE_Cohort!$C$6:$C$207,MATCH(A61,ARIDE_Cohort!$A$6:$A$207,0)),0)</f>
        <v>0</v>
      </c>
      <c r="F61" s="22" t="n">
        <f aca="false">MAX(Inputs!$B$24,IF(AND(Inputs!$B$29="ARIDE cohort",ARIDE_Cohort!$B$3&gt;=Inputs!$B$30),E61,D61))</f>
        <v>0.01</v>
      </c>
      <c r="G61" s="20" t="str">
        <f aca="false">IF(AND(Inputs!$B$29="ARIDE cohort",ARIDE_Cohort!$B$3&gt;=Inputs!$B$30),IF(E61&gt;Inputs!$B$24,"ARIDE cohort","Floor (ARIDE share below floor)"),IF(D61&gt;Inputs!$B$24,"Indian literature",IF(D61&gt;0,"Floor (Indian share below floor)","Floor (no Indian data)")))</f>
        <v>Floor (no Indian data)</v>
      </c>
      <c r="H61" s="23" t="n">
        <f aca="false">IF(B61="AR",Inputs!$B$14,IF(B61="AD",Inputs!$B$15,Inputs!$B$16))</f>
        <v>1</v>
      </c>
      <c r="I61" s="12"/>
      <c r="J61" s="24" t="n">
        <f aca="false">IF(I61="",H61,I61)</f>
        <v>1</v>
      </c>
      <c r="K61" s="12"/>
      <c r="L61" s="24" t="n">
        <f aca="false">IF(K61="",Inputs!$B$20,K61)</f>
        <v>0.5</v>
      </c>
      <c r="M61" s="25" t="n">
        <f aca="false">IF(B61="AR",SQRT(Inputs!$B$9*F61/J61),IF(B61="AD",Inputs!$B$9*F61/(2*J61),2*Inputs!$B$9*F61/J61))</f>
        <v>0.00470090743184764</v>
      </c>
      <c r="N61" s="25" t="n">
        <f aca="false">IF(B61="AR",IF(Inputs!$B$25=0,SQRT(Inputs!$B$8*F61/J61),(-Inputs!$B$25+SQRT(Inputs!$B$25^2+4*(1-Inputs!$B$25)*Inputs!$B$8*F61/J61))/(2*(1-Inputs!$B$25))),IF(B61="AD",Inputs!$B$8*F61/(2*J61),2*Inputs!$B$8*F61/J61))</f>
        <v>0.00416319359719033</v>
      </c>
      <c r="O61" s="25" t="n">
        <f aca="false">MIN(Inputs!$B$26,M61*L61)</f>
        <v>0.00235045371592382</v>
      </c>
      <c r="P61" s="25" t="n">
        <f aca="false">MIN(Inputs!$B$26,O61*Inputs!$B$19)</f>
        <v>0.0235045371592382</v>
      </c>
      <c r="Q61" s="25" t="n">
        <f aca="false">MIN(O61,N61*Inputs!$B$21)</f>
        <v>0.000208159679859516</v>
      </c>
      <c r="R61" s="26"/>
      <c r="S61" s="26"/>
      <c r="T61" s="26"/>
      <c r="U61" s="20" t="str">
        <f aca="false">IF(COUNT(R61:T61)&gt;0,"Published spec (+calc where blank)","Calculated (this workbook)")</f>
        <v>Calculated (this workbook)</v>
      </c>
      <c r="V61" s="28" t="n">
        <f aca="false">IF(R61="",MAX(P61,W61),R61)</f>
        <v>0.0235045371592382</v>
      </c>
      <c r="W61" s="28" t="n">
        <f aca="false">IF(S61="",O61,S61)</f>
        <v>0.00235045371592382</v>
      </c>
      <c r="X61" s="28" t="n">
        <f aca="false">IF(T61="",Q61,T61)</f>
        <v>0.000208159679859516</v>
      </c>
      <c r="Y61" s="20" t="str">
        <f aca="false">IF(S61="","",IF(O61&lt;S61,"Calc STRICTER (lower)","Calc more lenient (higher)"))</f>
        <v/>
      </c>
      <c r="Z61" s="20" t="str">
        <f aca="false">IF(B61="XL","Hemizygous male AF (grpmax)","grpmax FAF95; check SAS, IndiGen, GenomeIndia")</f>
        <v>grpmax FAF95; check SAS, IndiGen, GenomeIndia</v>
      </c>
      <c r="AA61" s="20"/>
      <c r="AB61" s="20"/>
    </row>
    <row r="62" customFormat="false" ht="15" hidden="false" customHeight="false" outlineLevel="0" collapsed="false">
      <c r="A62" s="19" t="s">
        <v>188</v>
      </c>
      <c r="B62" s="20" t="s">
        <v>96</v>
      </c>
      <c r="C62" s="20" t="s">
        <v>112</v>
      </c>
      <c r="D62" s="21" t="n">
        <f aca="false">SUMIF(Indian_Gene_Shares!$B$5:$B$47,A62,Indian_Gene_Shares!$G$5:$G$47)</f>
        <v>0.000999477583586626</v>
      </c>
      <c r="E62" s="9" t="n">
        <f aca="false">IFERROR(INDEX(ARIDE_Cohort!$C$6:$C$207,MATCH(A62,ARIDE_Cohort!$A$6:$A$207,0)),0)</f>
        <v>0</v>
      </c>
      <c r="F62" s="22" t="n">
        <f aca="false">MAX(Inputs!$B$24,IF(AND(Inputs!$B$29="ARIDE cohort",ARIDE_Cohort!$B$3&gt;=Inputs!$B$30),E62,D62))</f>
        <v>0.01</v>
      </c>
      <c r="G62" s="20" t="str">
        <f aca="false">IF(AND(Inputs!$B$29="ARIDE cohort",ARIDE_Cohort!$B$3&gt;=Inputs!$B$30),IF(E62&gt;Inputs!$B$24,"ARIDE cohort","Floor (ARIDE share below floor)"),IF(D62&gt;Inputs!$B$24,"Indian literature",IF(D62&gt;0,"Floor (Indian share below floor)","Floor (no Indian data)")))</f>
        <v>Floor (Indian share below floor)</v>
      </c>
      <c r="H62" s="23" t="n">
        <f aca="false">IF(B62="AR",Inputs!$B$14,IF(B62="AD",Inputs!$B$15,Inputs!$B$16))</f>
        <v>1</v>
      </c>
      <c r="I62" s="12"/>
      <c r="J62" s="24" t="n">
        <f aca="false">IF(I62="",H62,I62)</f>
        <v>1</v>
      </c>
      <c r="K62" s="12"/>
      <c r="L62" s="24" t="n">
        <f aca="false">IF(K62="",Inputs!$B$20,K62)</f>
        <v>0.5</v>
      </c>
      <c r="M62" s="25" t="n">
        <f aca="false">IF(B62="AR",SQRT(Inputs!$B$9*F62/J62),IF(B62="AD",Inputs!$B$9*F62/(2*J62),2*Inputs!$B$9*F62/J62))</f>
        <v>0.00470090743184764</v>
      </c>
      <c r="N62" s="25" t="n">
        <f aca="false">IF(B62="AR",IF(Inputs!$B$25=0,SQRT(Inputs!$B$8*F62/J62),(-Inputs!$B$25+SQRT(Inputs!$B$25^2+4*(1-Inputs!$B$25)*Inputs!$B$8*F62/J62))/(2*(1-Inputs!$B$25))),IF(B62="AD",Inputs!$B$8*F62/(2*J62),2*Inputs!$B$8*F62/J62))</f>
        <v>0.00416319359719033</v>
      </c>
      <c r="O62" s="25" t="n">
        <f aca="false">MIN(Inputs!$B$26,M62*L62)</f>
        <v>0.00235045371592382</v>
      </c>
      <c r="P62" s="25" t="n">
        <f aca="false">MIN(Inputs!$B$26,O62*Inputs!$B$19)</f>
        <v>0.0235045371592382</v>
      </c>
      <c r="Q62" s="25" t="n">
        <f aca="false">MIN(O62,N62*Inputs!$B$21)</f>
        <v>0.000208159679859516</v>
      </c>
      <c r="R62" s="26"/>
      <c r="S62" s="26"/>
      <c r="T62" s="26"/>
      <c r="U62" s="20" t="str">
        <f aca="false">IF(COUNT(R62:T62)&gt;0,"Published spec (+calc where blank)","Calculated (this workbook)")</f>
        <v>Calculated (this workbook)</v>
      </c>
      <c r="V62" s="28" t="n">
        <f aca="false">IF(R62="",MAX(P62,W62),R62)</f>
        <v>0.0235045371592382</v>
      </c>
      <c r="W62" s="28" t="n">
        <f aca="false">IF(S62="",O62,S62)</f>
        <v>0.00235045371592382</v>
      </c>
      <c r="X62" s="28" t="n">
        <f aca="false">IF(T62="",Q62,T62)</f>
        <v>0.000208159679859516</v>
      </c>
      <c r="Y62" s="20" t="str">
        <f aca="false">IF(S62="","",IF(O62&lt;S62,"Calc STRICTER (lower)","Calc more lenient (higher)"))</f>
        <v/>
      </c>
      <c r="Z62" s="20" t="str">
        <f aca="false">IF(B62="XL","Hemizygous male AF (grpmax)","grpmax FAF95; check SAS, IndiGen, GenomeIndia")</f>
        <v>grpmax FAF95; check SAS, IndiGen, GenomeIndia</v>
      </c>
      <c r="AA62" s="20"/>
      <c r="AB62" s="20"/>
    </row>
    <row r="63" customFormat="false" ht="15" hidden="false" customHeight="false" outlineLevel="0" collapsed="false">
      <c r="A63" s="19" t="s">
        <v>189</v>
      </c>
      <c r="B63" s="20" t="s">
        <v>96</v>
      </c>
      <c r="C63" s="20" t="s">
        <v>190</v>
      </c>
      <c r="D63" s="21" t="n">
        <f aca="false">SUMIF(Indian_Gene_Shares!$B$5:$B$47,A63,Indian_Gene_Shares!$G$5:$G$47)</f>
        <v>0.0388459346504559</v>
      </c>
      <c r="E63" s="9" t="n">
        <f aca="false">IFERROR(INDEX(ARIDE_Cohort!$C$6:$C$207,MATCH(A63,ARIDE_Cohort!$A$6:$A$207,0)),0)</f>
        <v>0</v>
      </c>
      <c r="F63" s="22" t="n">
        <f aca="false">MAX(Inputs!$B$24,IF(AND(Inputs!$B$29="ARIDE cohort",ARIDE_Cohort!$B$3&gt;=Inputs!$B$30),E63,D63))</f>
        <v>0.0388459346504559</v>
      </c>
      <c r="G63" s="20" t="str">
        <f aca="false">IF(AND(Inputs!$B$29="ARIDE cohort",ARIDE_Cohort!$B$3&gt;=Inputs!$B$30),IF(E63&gt;Inputs!$B$24,"ARIDE cohort","Floor (ARIDE share below floor)"),IF(D63&gt;Inputs!$B$24,"Indian literature",IF(D63&gt;0,"Floor (Indian share below floor)","Floor (no Indian data)")))</f>
        <v>Indian literature</v>
      </c>
      <c r="H63" s="23" t="n">
        <f aca="false">IF(B63="AR",Inputs!$B$14,IF(B63="AD",Inputs!$B$15,Inputs!$B$16))</f>
        <v>1</v>
      </c>
      <c r="I63" s="12"/>
      <c r="J63" s="24" t="n">
        <f aca="false">IF(I63="",H63,I63)</f>
        <v>1</v>
      </c>
      <c r="K63" s="12"/>
      <c r="L63" s="24" t="n">
        <f aca="false">IF(K63="",Inputs!$B$20,K63)</f>
        <v>0.5</v>
      </c>
      <c r="M63" s="25" t="n">
        <f aca="false">IF(B63="AR",SQRT(Inputs!$B$9*F63/J63),IF(B63="AD",Inputs!$B$9*F63/(2*J63),2*Inputs!$B$9*F63/J63))</f>
        <v>0.00926519335348787</v>
      </c>
      <c r="N63" s="25" t="n">
        <f aca="false">IF(B63="AR",IF(Inputs!$B$25=0,SQRT(Inputs!$B$8*F63/J63),(-Inputs!$B$25+SQRT(Inputs!$B$25^2+4*(1-Inputs!$B$25)*Inputs!$B$8*F63/J63))/(2*(1-Inputs!$B$25))),IF(B63="AD",Inputs!$B$8*F63/(2*J63),2*Inputs!$B$8*F63/J63))</f>
        <v>0.00820539315125601</v>
      </c>
      <c r="O63" s="25" t="n">
        <f aca="false">MIN(Inputs!$B$26,M63*L63)</f>
        <v>0.00463259667674393</v>
      </c>
      <c r="P63" s="25" t="n">
        <f aca="false">MIN(Inputs!$B$26,O63*Inputs!$B$19)</f>
        <v>0.0463259667674393</v>
      </c>
      <c r="Q63" s="25" t="n">
        <f aca="false">MIN(O63,N63*Inputs!$B$21)</f>
        <v>0.0004102696575628</v>
      </c>
      <c r="R63" s="26"/>
      <c r="S63" s="26"/>
      <c r="T63" s="26"/>
      <c r="U63" s="20" t="str">
        <f aca="false">IF(COUNT(R63:T63)&gt;0,"Published spec (+calc where blank)","Calculated (this workbook)")</f>
        <v>Calculated (this workbook)</v>
      </c>
      <c r="V63" s="28" t="n">
        <f aca="false">IF(R63="",MAX(P63,W63),R63)</f>
        <v>0.0463259667674393</v>
      </c>
      <c r="W63" s="28" t="n">
        <f aca="false">IF(S63="",O63,S63)</f>
        <v>0.00463259667674393</v>
      </c>
      <c r="X63" s="28" t="n">
        <f aca="false">IF(T63="",Q63,T63)</f>
        <v>0.0004102696575628</v>
      </c>
      <c r="Y63" s="20" t="str">
        <f aca="false">IF(S63="","",IF(O63&lt;S63,"Calc STRICTER (lower)","Calc more lenient (higher)"))</f>
        <v/>
      </c>
      <c r="Z63" s="20" t="str">
        <f aca="false">IF(B63="XL","Hemizygous male AF (grpmax)","grpmax FAF95; check SAS, IndiGen, GenomeIndia")</f>
        <v>grpmax FAF95; check SAS, IndiGen, GenomeIndia</v>
      </c>
      <c r="AA63" s="20"/>
      <c r="AB63" s="20"/>
    </row>
    <row r="64" customFormat="false" ht="15" hidden="false" customHeight="false" outlineLevel="0" collapsed="false">
      <c r="A64" s="19" t="s">
        <v>189</v>
      </c>
      <c r="B64" s="20" t="s">
        <v>109</v>
      </c>
      <c r="C64" s="20" t="s">
        <v>191</v>
      </c>
      <c r="D64" s="21" t="n">
        <f aca="false">SUMIF(Indian_Gene_Shares!$B$5:$B$47,A64,Indian_Gene_Shares!$G$5:$G$47)</f>
        <v>0.0388459346504559</v>
      </c>
      <c r="E64" s="9" t="n">
        <f aca="false">IFERROR(INDEX(ARIDE_Cohort!$C$6:$C$207,MATCH(A64,ARIDE_Cohort!$A$6:$A$207,0)),0)</f>
        <v>0</v>
      </c>
      <c r="F64" s="22" t="n">
        <f aca="false">MAX(Inputs!$B$24,IF(AND(Inputs!$B$29="ARIDE cohort",ARIDE_Cohort!$B$3&gt;=Inputs!$B$30),E64,D64))</f>
        <v>0.0388459346504559</v>
      </c>
      <c r="G64" s="20" t="str">
        <f aca="false">IF(AND(Inputs!$B$29="ARIDE cohort",ARIDE_Cohort!$B$3&gt;=Inputs!$B$30),IF(E64&gt;Inputs!$B$24,"ARIDE cohort","Floor (ARIDE share below floor)"),IF(D64&gt;Inputs!$B$24,"Indian literature",IF(D64&gt;0,"Floor (Indian share below floor)","Floor (no Indian data)")))</f>
        <v>Indian literature</v>
      </c>
      <c r="H64" s="23" t="n">
        <f aca="false">IF(B64="AR",Inputs!$B$14,IF(B64="AD",Inputs!$B$15,Inputs!$B$16))</f>
        <v>0.5</v>
      </c>
      <c r="I64" s="12"/>
      <c r="J64" s="24" t="n">
        <f aca="false">IF(I64="",H64,I64)</f>
        <v>0.5</v>
      </c>
      <c r="K64" s="12"/>
      <c r="L64" s="24" t="n">
        <f aca="false">IF(K64="",Inputs!$B$20,K64)</f>
        <v>0.5</v>
      </c>
      <c r="M64" s="25" t="n">
        <f aca="false">IF(B64="AR",SQRT(Inputs!$B$9*F64/J64),IF(B64="AD",Inputs!$B$9*F64/(2*J64),2*Inputs!$B$9*F64/J64))</f>
        <v>8.58438078775157E-005</v>
      </c>
      <c r="N64" s="25" t="n">
        <f aca="false">IF(B64="AR",IF(Inputs!$B$25=0,SQRT(Inputs!$B$8*F64/J64),(-Inputs!$B$25+SQRT(Inputs!$B$25^2+4*(1-Inputs!$B$25)*Inputs!$B$8*F64/J64))/(2*(1-Inputs!$B$25))),IF(B64="AD",Inputs!$B$8*F64/(2*J64),2*Inputs!$B$8*F64/J64))</f>
        <v>6.7328476766679E-005</v>
      </c>
      <c r="O64" s="25" t="n">
        <f aca="false">MIN(Inputs!$B$26,M64*L64)</f>
        <v>4.29219039387579E-005</v>
      </c>
      <c r="P64" s="25" t="n">
        <f aca="false">MIN(Inputs!$B$26,O64*Inputs!$B$19)</f>
        <v>0.000429219039387579</v>
      </c>
      <c r="Q64" s="25" t="n">
        <f aca="false">MIN(O64,N64*Inputs!$B$21)</f>
        <v>3.36642383833395E-006</v>
      </c>
      <c r="R64" s="26"/>
      <c r="S64" s="26"/>
      <c r="T64" s="26"/>
      <c r="U64" s="20" t="str">
        <f aca="false">IF(COUNT(R64:T64)&gt;0,"Published spec (+calc where blank)","Calculated (this workbook)")</f>
        <v>Calculated (this workbook)</v>
      </c>
      <c r="V64" s="28" t="n">
        <f aca="false">IF(R64="",MAX(P64,W64),R64)</f>
        <v>0.000429219039387579</v>
      </c>
      <c r="W64" s="28" t="n">
        <f aca="false">IF(S64="",O64,S64)</f>
        <v>4.29219039387579E-005</v>
      </c>
      <c r="X64" s="28" t="n">
        <f aca="false">IF(T64="",Q64,T64)</f>
        <v>3.36642383833395E-006</v>
      </c>
      <c r="Y64" s="20" t="str">
        <f aca="false">IF(S64="","",IF(O64&lt;S64,"Calc STRICTER (lower)","Calc more lenient (higher)"))</f>
        <v/>
      </c>
      <c r="Z64" s="20" t="str">
        <f aca="false">IF(B64="XL","Hemizygous male AF (grpmax)","grpmax FAF95; check SAS, IndiGen, GenomeIndia")</f>
        <v>grpmax FAF95; check SAS, IndiGen, GenomeIndia</v>
      </c>
      <c r="AA64" s="20"/>
      <c r="AB64" s="20"/>
    </row>
    <row r="65" customFormat="false" ht="15" hidden="false" customHeight="false" outlineLevel="0" collapsed="false">
      <c r="A65" s="19" t="s">
        <v>192</v>
      </c>
      <c r="B65" s="20" t="s">
        <v>109</v>
      </c>
      <c r="C65" s="20" t="s">
        <v>193</v>
      </c>
      <c r="D65" s="21" t="n">
        <f aca="false">SUMIF(Indian_Gene_Shares!$B$5:$B$47,A65,Indian_Gene_Shares!$G$5:$G$47)</f>
        <v>0.000381838905775076</v>
      </c>
      <c r="E65" s="9" t="n">
        <f aca="false">IFERROR(INDEX(ARIDE_Cohort!$C$6:$C$207,MATCH(A65,ARIDE_Cohort!$A$6:$A$207,0)),0)</f>
        <v>0</v>
      </c>
      <c r="F65" s="22" t="n">
        <f aca="false">MAX(Inputs!$B$24,IF(AND(Inputs!$B$29="ARIDE cohort",ARIDE_Cohort!$B$3&gt;=Inputs!$B$30),E65,D65))</f>
        <v>0.01</v>
      </c>
      <c r="G65" s="20" t="str">
        <f aca="false">IF(AND(Inputs!$B$29="ARIDE cohort",ARIDE_Cohort!$B$3&gt;=Inputs!$B$30),IF(E65&gt;Inputs!$B$24,"ARIDE cohort","Floor (ARIDE share below floor)"),IF(D65&gt;Inputs!$B$24,"Indian literature",IF(D65&gt;0,"Floor (Indian share below floor)","Floor (no Indian data)")))</f>
        <v>Floor (Indian share below floor)</v>
      </c>
      <c r="H65" s="23" t="n">
        <f aca="false">IF(B65="AR",Inputs!$B$14,IF(B65="AD",Inputs!$B$15,Inputs!$B$16))</f>
        <v>0.5</v>
      </c>
      <c r="I65" s="12"/>
      <c r="J65" s="24" t="n">
        <f aca="false">IF(I65="",H65,I65)</f>
        <v>0.5</v>
      </c>
      <c r="K65" s="12"/>
      <c r="L65" s="24" t="n">
        <f aca="false">IF(K65="",Inputs!$B$20,K65)</f>
        <v>0.5</v>
      </c>
      <c r="M65" s="25" t="n">
        <f aca="false">IF(B65="AR",SQRT(Inputs!$B$9*F65/J65),IF(B65="AD",Inputs!$B$9*F65/(2*J65),2*Inputs!$B$9*F65/J65))</f>
        <v>2.20985306828003E-005</v>
      </c>
      <c r="N65" s="25" t="n">
        <f aca="false">IF(B65="AR",IF(Inputs!$B$25=0,SQRT(Inputs!$B$8*F65/J65),(-Inputs!$B$25+SQRT(Inputs!$B$25^2+4*(1-Inputs!$B$25)*Inputs!$B$8*F65/J65))/(2*(1-Inputs!$B$25))),IF(B65="AD",Inputs!$B$8*F65/(2*J65),2*Inputs!$B$8*F65/J65))</f>
        <v>1.73321809276865E-005</v>
      </c>
      <c r="O65" s="25" t="n">
        <f aca="false">MIN(Inputs!$B$26,M65*L65)</f>
        <v>1.10492653414002E-005</v>
      </c>
      <c r="P65" s="25" t="n">
        <f aca="false">MIN(Inputs!$B$26,O65*Inputs!$B$19)</f>
        <v>0.000110492653414002</v>
      </c>
      <c r="Q65" s="25" t="n">
        <f aca="false">MIN(O65,N65*Inputs!$B$21)</f>
        <v>8.66609046384327E-007</v>
      </c>
      <c r="R65" s="26"/>
      <c r="S65" s="26"/>
      <c r="T65" s="26"/>
      <c r="U65" s="20" t="str">
        <f aca="false">IF(COUNT(R65:T65)&gt;0,"Published spec (+calc where blank)","Calculated (this workbook)")</f>
        <v>Calculated (this workbook)</v>
      </c>
      <c r="V65" s="28" t="n">
        <f aca="false">IF(R65="",MAX(P65,W65),R65)</f>
        <v>0.000110492653414002</v>
      </c>
      <c r="W65" s="28" t="n">
        <f aca="false">IF(S65="",O65,S65)</f>
        <v>1.10492653414002E-005</v>
      </c>
      <c r="X65" s="28" t="n">
        <f aca="false">IF(T65="",Q65,T65)</f>
        <v>8.66609046384327E-007</v>
      </c>
      <c r="Y65" s="20" t="str">
        <f aca="false">IF(S65="","",IF(O65&lt;S65,"Calc STRICTER (lower)","Calc more lenient (higher)"))</f>
        <v/>
      </c>
      <c r="Z65" s="20" t="str">
        <f aca="false">IF(B65="XL","Hemizygous male AF (grpmax)","grpmax FAF95; check SAS, IndiGen, GenomeIndia")</f>
        <v>grpmax FAF95; check SAS, IndiGen, GenomeIndia</v>
      </c>
      <c r="AA65" s="20"/>
      <c r="AB65" s="20"/>
    </row>
    <row r="66" customFormat="false" ht="15" hidden="false" customHeight="false" outlineLevel="0" collapsed="false">
      <c r="A66" s="19" t="s">
        <v>192</v>
      </c>
      <c r="B66" s="20" t="s">
        <v>96</v>
      </c>
      <c r="C66" s="20" t="s">
        <v>115</v>
      </c>
      <c r="D66" s="21" t="n">
        <f aca="false">SUMIF(Indian_Gene_Shares!$B$5:$B$47,A66,Indian_Gene_Shares!$G$5:$G$47)</f>
        <v>0.000381838905775076</v>
      </c>
      <c r="E66" s="9" t="n">
        <f aca="false">IFERROR(INDEX(ARIDE_Cohort!$C$6:$C$207,MATCH(A66,ARIDE_Cohort!$A$6:$A$207,0)),0)</f>
        <v>0</v>
      </c>
      <c r="F66" s="22" t="n">
        <f aca="false">MAX(Inputs!$B$24,IF(AND(Inputs!$B$29="ARIDE cohort",ARIDE_Cohort!$B$3&gt;=Inputs!$B$30),E66,D66))</f>
        <v>0.01</v>
      </c>
      <c r="G66" s="20" t="str">
        <f aca="false">IF(AND(Inputs!$B$29="ARIDE cohort",ARIDE_Cohort!$B$3&gt;=Inputs!$B$30),IF(E66&gt;Inputs!$B$24,"ARIDE cohort","Floor (ARIDE share below floor)"),IF(D66&gt;Inputs!$B$24,"Indian literature",IF(D66&gt;0,"Floor (Indian share below floor)","Floor (no Indian data)")))</f>
        <v>Floor (Indian share below floor)</v>
      </c>
      <c r="H66" s="23" t="n">
        <f aca="false">IF(B66="AR",Inputs!$B$14,IF(B66="AD",Inputs!$B$15,Inputs!$B$16))</f>
        <v>1</v>
      </c>
      <c r="I66" s="12"/>
      <c r="J66" s="24" t="n">
        <f aca="false">IF(I66="",H66,I66)</f>
        <v>1</v>
      </c>
      <c r="K66" s="12"/>
      <c r="L66" s="24" t="n">
        <f aca="false">IF(K66="",Inputs!$B$20,K66)</f>
        <v>0.5</v>
      </c>
      <c r="M66" s="25" t="n">
        <f aca="false">IF(B66="AR",SQRT(Inputs!$B$9*F66/J66),IF(B66="AD",Inputs!$B$9*F66/(2*J66),2*Inputs!$B$9*F66/J66))</f>
        <v>0.00470090743184764</v>
      </c>
      <c r="N66" s="25" t="n">
        <f aca="false">IF(B66="AR",IF(Inputs!$B$25=0,SQRT(Inputs!$B$8*F66/J66),(-Inputs!$B$25+SQRT(Inputs!$B$25^2+4*(1-Inputs!$B$25)*Inputs!$B$8*F66/J66))/(2*(1-Inputs!$B$25))),IF(B66="AD",Inputs!$B$8*F66/(2*J66),2*Inputs!$B$8*F66/J66))</f>
        <v>0.00416319359719033</v>
      </c>
      <c r="O66" s="25" t="n">
        <f aca="false">MIN(Inputs!$B$26,M66*L66)</f>
        <v>0.00235045371592382</v>
      </c>
      <c r="P66" s="25" t="n">
        <f aca="false">MIN(Inputs!$B$26,O66*Inputs!$B$19)</f>
        <v>0.0235045371592382</v>
      </c>
      <c r="Q66" s="25" t="n">
        <f aca="false">MIN(O66,N66*Inputs!$B$21)</f>
        <v>0.000208159679859516</v>
      </c>
      <c r="R66" s="26"/>
      <c r="S66" s="26"/>
      <c r="T66" s="26"/>
      <c r="U66" s="20" t="str">
        <f aca="false">IF(COUNT(R66:T66)&gt;0,"Published spec (+calc where blank)","Calculated (this workbook)")</f>
        <v>Calculated (this workbook)</v>
      </c>
      <c r="V66" s="28" t="n">
        <f aca="false">IF(R66="",MAX(P66,W66),R66)</f>
        <v>0.0235045371592382</v>
      </c>
      <c r="W66" s="28" t="n">
        <f aca="false">IF(S66="",O66,S66)</f>
        <v>0.00235045371592382</v>
      </c>
      <c r="X66" s="28" t="n">
        <f aca="false">IF(T66="",Q66,T66)</f>
        <v>0.000208159679859516</v>
      </c>
      <c r="Y66" s="20" t="str">
        <f aca="false">IF(S66="","",IF(O66&lt;S66,"Calc STRICTER (lower)","Calc more lenient (higher)"))</f>
        <v/>
      </c>
      <c r="Z66" s="20" t="str">
        <f aca="false">IF(B66="XL","Hemizygous male AF (grpmax)","grpmax FAF95; check SAS, IndiGen, GenomeIndia")</f>
        <v>grpmax FAF95; check SAS, IndiGen, GenomeIndia</v>
      </c>
      <c r="AA66" s="20"/>
      <c r="AB66" s="20"/>
    </row>
    <row r="67" customFormat="false" ht="15" hidden="false" customHeight="false" outlineLevel="0" collapsed="false">
      <c r="A67" s="19" t="s">
        <v>194</v>
      </c>
      <c r="B67" s="20" t="s">
        <v>96</v>
      </c>
      <c r="C67" s="20" t="s">
        <v>112</v>
      </c>
      <c r="D67" s="21" t="n">
        <f aca="false">SUMIF(Indian_Gene_Shares!$B$5:$B$47,A67,Indian_Gene_Shares!$G$5:$G$47)</f>
        <v>0</v>
      </c>
      <c r="E67" s="9" t="n">
        <f aca="false">IFERROR(INDEX(ARIDE_Cohort!$C$6:$C$207,MATCH(A67,ARIDE_Cohort!$A$6:$A$207,0)),0)</f>
        <v>0</v>
      </c>
      <c r="F67" s="22" t="n">
        <f aca="false">MAX(Inputs!$B$24,IF(AND(Inputs!$B$29="ARIDE cohort",ARIDE_Cohort!$B$3&gt;=Inputs!$B$30),E67,D67))</f>
        <v>0.01</v>
      </c>
      <c r="G67" s="20" t="str">
        <f aca="false">IF(AND(Inputs!$B$29="ARIDE cohort",ARIDE_Cohort!$B$3&gt;=Inputs!$B$30),IF(E67&gt;Inputs!$B$24,"ARIDE cohort","Floor (ARIDE share below floor)"),IF(D67&gt;Inputs!$B$24,"Indian literature",IF(D67&gt;0,"Floor (Indian share below floor)","Floor (no Indian data)")))</f>
        <v>Floor (no Indian data)</v>
      </c>
      <c r="H67" s="23" t="n">
        <f aca="false">IF(B67="AR",Inputs!$B$14,IF(B67="AD",Inputs!$B$15,Inputs!$B$16))</f>
        <v>1</v>
      </c>
      <c r="I67" s="12"/>
      <c r="J67" s="24" t="n">
        <f aca="false">IF(I67="",H67,I67)</f>
        <v>1</v>
      </c>
      <c r="K67" s="12"/>
      <c r="L67" s="24" t="n">
        <f aca="false">IF(K67="",Inputs!$B$20,K67)</f>
        <v>0.5</v>
      </c>
      <c r="M67" s="25" t="n">
        <f aca="false">IF(B67="AR",SQRT(Inputs!$B$9*F67/J67),IF(B67="AD",Inputs!$B$9*F67/(2*J67),2*Inputs!$B$9*F67/J67))</f>
        <v>0.00470090743184764</v>
      </c>
      <c r="N67" s="25" t="n">
        <f aca="false">IF(B67="AR",IF(Inputs!$B$25=0,SQRT(Inputs!$B$8*F67/J67),(-Inputs!$B$25+SQRT(Inputs!$B$25^2+4*(1-Inputs!$B$25)*Inputs!$B$8*F67/J67))/(2*(1-Inputs!$B$25))),IF(B67="AD",Inputs!$B$8*F67/(2*J67),2*Inputs!$B$8*F67/J67))</f>
        <v>0.00416319359719033</v>
      </c>
      <c r="O67" s="25" t="n">
        <f aca="false">MIN(Inputs!$B$26,M67*L67)</f>
        <v>0.00235045371592382</v>
      </c>
      <c r="P67" s="25" t="n">
        <f aca="false">MIN(Inputs!$B$26,O67*Inputs!$B$19)</f>
        <v>0.0235045371592382</v>
      </c>
      <c r="Q67" s="25" t="n">
        <f aca="false">MIN(O67,N67*Inputs!$B$21)</f>
        <v>0.000208159679859516</v>
      </c>
      <c r="R67" s="26"/>
      <c r="S67" s="26"/>
      <c r="T67" s="26"/>
      <c r="U67" s="20" t="str">
        <f aca="false">IF(COUNT(R67:T67)&gt;0,"Published spec (+calc where blank)","Calculated (this workbook)")</f>
        <v>Calculated (this workbook)</v>
      </c>
      <c r="V67" s="28" t="n">
        <f aca="false">IF(R67="",MAX(P67,W67),R67)</f>
        <v>0.0235045371592382</v>
      </c>
      <c r="W67" s="28" t="n">
        <f aca="false">IF(S67="",O67,S67)</f>
        <v>0.00235045371592382</v>
      </c>
      <c r="X67" s="28" t="n">
        <f aca="false">IF(T67="",Q67,T67)</f>
        <v>0.000208159679859516</v>
      </c>
      <c r="Y67" s="20" t="str">
        <f aca="false">IF(S67="","",IF(O67&lt;S67,"Calc STRICTER (lower)","Calc more lenient (higher)"))</f>
        <v/>
      </c>
      <c r="Z67" s="20" t="str">
        <f aca="false">IF(B67="XL","Hemizygous male AF (grpmax)","grpmax FAF95; check SAS, IndiGen, GenomeIndia")</f>
        <v>grpmax FAF95; check SAS, IndiGen, GenomeIndia</v>
      </c>
      <c r="AA67" s="20"/>
      <c r="AB67" s="20"/>
    </row>
    <row r="68" customFormat="false" ht="15" hidden="false" customHeight="false" outlineLevel="0" collapsed="false">
      <c r="A68" s="19" t="s">
        <v>195</v>
      </c>
      <c r="B68" s="20" t="s">
        <v>109</v>
      </c>
      <c r="C68" s="20" t="s">
        <v>196</v>
      </c>
      <c r="D68" s="21" t="n">
        <f aca="false">SUMIF(Indian_Gene_Shares!$B$5:$B$47,A68,Indian_Gene_Shares!$G$5:$G$47)</f>
        <v>0</v>
      </c>
      <c r="E68" s="9" t="n">
        <f aca="false">IFERROR(INDEX(ARIDE_Cohort!$C$6:$C$207,MATCH(A68,ARIDE_Cohort!$A$6:$A$207,0)),0)</f>
        <v>0</v>
      </c>
      <c r="F68" s="22" t="n">
        <f aca="false">MAX(Inputs!$B$24,IF(AND(Inputs!$B$29="ARIDE cohort",ARIDE_Cohort!$B$3&gt;=Inputs!$B$30),E68,D68))</f>
        <v>0.01</v>
      </c>
      <c r="G68" s="20" t="str">
        <f aca="false">IF(AND(Inputs!$B$29="ARIDE cohort",ARIDE_Cohort!$B$3&gt;=Inputs!$B$30),IF(E68&gt;Inputs!$B$24,"ARIDE cohort","Floor (ARIDE share below floor)"),IF(D68&gt;Inputs!$B$24,"Indian literature",IF(D68&gt;0,"Floor (Indian share below floor)","Floor (no Indian data)")))</f>
        <v>Floor (no Indian data)</v>
      </c>
      <c r="H68" s="23" t="n">
        <f aca="false">IF(B68="AR",Inputs!$B$14,IF(B68="AD",Inputs!$B$15,Inputs!$B$16))</f>
        <v>0.5</v>
      </c>
      <c r="I68" s="12"/>
      <c r="J68" s="24" t="n">
        <f aca="false">IF(I68="",H68,I68)</f>
        <v>0.5</v>
      </c>
      <c r="K68" s="12"/>
      <c r="L68" s="24" t="n">
        <f aca="false">IF(K68="",Inputs!$B$20,K68)</f>
        <v>0.5</v>
      </c>
      <c r="M68" s="25" t="n">
        <f aca="false">IF(B68="AR",SQRT(Inputs!$B$9*F68/J68),IF(B68="AD",Inputs!$B$9*F68/(2*J68),2*Inputs!$B$9*F68/J68))</f>
        <v>2.20985306828003E-005</v>
      </c>
      <c r="N68" s="25" t="n">
        <f aca="false">IF(B68="AR",IF(Inputs!$B$25=0,SQRT(Inputs!$B$8*F68/J68),(-Inputs!$B$25+SQRT(Inputs!$B$25^2+4*(1-Inputs!$B$25)*Inputs!$B$8*F68/J68))/(2*(1-Inputs!$B$25))),IF(B68="AD",Inputs!$B$8*F68/(2*J68),2*Inputs!$B$8*F68/J68))</f>
        <v>1.73321809276865E-005</v>
      </c>
      <c r="O68" s="25" t="n">
        <f aca="false">MIN(Inputs!$B$26,M68*L68)</f>
        <v>1.10492653414002E-005</v>
      </c>
      <c r="P68" s="25" t="n">
        <f aca="false">MIN(Inputs!$B$26,O68*Inputs!$B$19)</f>
        <v>0.000110492653414002</v>
      </c>
      <c r="Q68" s="25" t="n">
        <f aca="false">MIN(O68,N68*Inputs!$B$21)</f>
        <v>8.66609046384327E-007</v>
      </c>
      <c r="R68" s="26"/>
      <c r="S68" s="26"/>
      <c r="T68" s="26"/>
      <c r="U68" s="20" t="str">
        <f aca="false">IF(COUNT(R68:T68)&gt;0,"Published spec (+calc where blank)","Calculated (this workbook)")</f>
        <v>Calculated (this workbook)</v>
      </c>
      <c r="V68" s="28" t="n">
        <f aca="false">IF(R68="",MAX(P68,W68),R68)</f>
        <v>0.000110492653414002</v>
      </c>
      <c r="W68" s="28" t="n">
        <f aca="false">IF(S68="",O68,S68)</f>
        <v>1.10492653414002E-005</v>
      </c>
      <c r="X68" s="28" t="n">
        <f aca="false">IF(T68="",Q68,T68)</f>
        <v>8.66609046384327E-007</v>
      </c>
      <c r="Y68" s="20" t="str">
        <f aca="false">IF(S68="","",IF(O68&lt;S68,"Calc STRICTER (lower)","Calc more lenient (higher)"))</f>
        <v/>
      </c>
      <c r="Z68" s="20" t="str">
        <f aca="false">IF(B68="XL","Hemizygous male AF (grpmax)","grpmax FAF95; check SAS, IndiGen, GenomeIndia")</f>
        <v>grpmax FAF95; check SAS, IndiGen, GenomeIndia</v>
      </c>
      <c r="AA68" s="20"/>
      <c r="AB68" s="20"/>
    </row>
    <row r="69" customFormat="false" ht="15" hidden="false" customHeight="false" outlineLevel="0" collapsed="false">
      <c r="A69" s="19" t="s">
        <v>197</v>
      </c>
      <c r="B69" s="20" t="s">
        <v>96</v>
      </c>
      <c r="C69" s="20" t="s">
        <v>105</v>
      </c>
      <c r="D69" s="21" t="n">
        <f aca="false">SUMIF(Indian_Gene_Shares!$B$5:$B$47,A69,Indian_Gene_Shares!$G$5:$G$47)</f>
        <v>0</v>
      </c>
      <c r="E69" s="9" t="n">
        <f aca="false">IFERROR(INDEX(ARIDE_Cohort!$C$6:$C$207,MATCH(A69,ARIDE_Cohort!$A$6:$A$207,0)),0)</f>
        <v>0</v>
      </c>
      <c r="F69" s="22" t="n">
        <f aca="false">MAX(Inputs!$B$24,IF(AND(Inputs!$B$29="ARIDE cohort",ARIDE_Cohort!$B$3&gt;=Inputs!$B$30),E69,D69))</f>
        <v>0.01</v>
      </c>
      <c r="G69" s="20" t="str">
        <f aca="false">IF(AND(Inputs!$B$29="ARIDE cohort",ARIDE_Cohort!$B$3&gt;=Inputs!$B$30),IF(E69&gt;Inputs!$B$24,"ARIDE cohort","Floor (ARIDE share below floor)"),IF(D69&gt;Inputs!$B$24,"Indian literature",IF(D69&gt;0,"Floor (Indian share below floor)","Floor (no Indian data)")))</f>
        <v>Floor (no Indian data)</v>
      </c>
      <c r="H69" s="23" t="n">
        <f aca="false">IF(B69="AR",Inputs!$B$14,IF(B69="AD",Inputs!$B$15,Inputs!$B$16))</f>
        <v>1</v>
      </c>
      <c r="I69" s="12"/>
      <c r="J69" s="24" t="n">
        <f aca="false">IF(I69="",H69,I69)</f>
        <v>1</v>
      </c>
      <c r="K69" s="12"/>
      <c r="L69" s="24" t="n">
        <f aca="false">IF(K69="",Inputs!$B$20,K69)</f>
        <v>0.5</v>
      </c>
      <c r="M69" s="25" t="n">
        <f aca="false">IF(B69="AR",SQRT(Inputs!$B$9*F69/J69),IF(B69="AD",Inputs!$B$9*F69/(2*J69),2*Inputs!$B$9*F69/J69))</f>
        <v>0.00470090743184764</v>
      </c>
      <c r="N69" s="25" t="n">
        <f aca="false">IF(B69="AR",IF(Inputs!$B$25=0,SQRT(Inputs!$B$8*F69/J69),(-Inputs!$B$25+SQRT(Inputs!$B$25^2+4*(1-Inputs!$B$25)*Inputs!$B$8*F69/J69))/(2*(1-Inputs!$B$25))),IF(B69="AD",Inputs!$B$8*F69/(2*J69),2*Inputs!$B$8*F69/J69))</f>
        <v>0.00416319359719033</v>
      </c>
      <c r="O69" s="25" t="n">
        <f aca="false">MIN(Inputs!$B$26,M69*L69)</f>
        <v>0.00235045371592382</v>
      </c>
      <c r="P69" s="25" t="n">
        <f aca="false">MIN(Inputs!$B$26,O69*Inputs!$B$19)</f>
        <v>0.0235045371592382</v>
      </c>
      <c r="Q69" s="25" t="n">
        <f aca="false">MIN(O69,N69*Inputs!$B$21)</f>
        <v>0.000208159679859516</v>
      </c>
      <c r="R69" s="26"/>
      <c r="S69" s="26"/>
      <c r="T69" s="26"/>
      <c r="U69" s="20" t="str">
        <f aca="false">IF(COUNT(R69:T69)&gt;0,"Published spec (+calc where blank)","Calculated (this workbook)")</f>
        <v>Calculated (this workbook)</v>
      </c>
      <c r="V69" s="28" t="n">
        <f aca="false">IF(R69="",MAX(P69,W69),R69)</f>
        <v>0.0235045371592382</v>
      </c>
      <c r="W69" s="28" t="n">
        <f aca="false">IF(S69="",O69,S69)</f>
        <v>0.00235045371592382</v>
      </c>
      <c r="X69" s="28" t="n">
        <f aca="false">IF(T69="",Q69,T69)</f>
        <v>0.000208159679859516</v>
      </c>
      <c r="Y69" s="20" t="str">
        <f aca="false">IF(S69="","",IF(O69&lt;S69,"Calc STRICTER (lower)","Calc more lenient (higher)"))</f>
        <v/>
      </c>
      <c r="Z69" s="20" t="str">
        <f aca="false">IF(B69="XL","Hemizygous male AF (grpmax)","grpmax FAF95; check SAS, IndiGen, GenomeIndia")</f>
        <v>grpmax FAF95; check SAS, IndiGen, GenomeIndia</v>
      </c>
      <c r="AA69" s="20"/>
      <c r="AB69" s="20"/>
    </row>
    <row r="70" customFormat="false" ht="15" hidden="false" customHeight="false" outlineLevel="0" collapsed="false">
      <c r="A70" s="19" t="s">
        <v>198</v>
      </c>
      <c r="B70" s="20" t="s">
        <v>96</v>
      </c>
      <c r="C70" s="20" t="s">
        <v>199</v>
      </c>
      <c r="D70" s="21" t="n">
        <f aca="false">SUMIF(Indian_Gene_Shares!$B$5:$B$47,A70,Indian_Gene_Shares!$G$5:$G$47)</f>
        <v>0</v>
      </c>
      <c r="E70" s="9" t="n">
        <f aca="false">IFERROR(INDEX(ARIDE_Cohort!$C$6:$C$207,MATCH(A70,ARIDE_Cohort!$A$6:$A$207,0)),0)</f>
        <v>0</v>
      </c>
      <c r="F70" s="22" t="n">
        <f aca="false">MAX(Inputs!$B$24,IF(AND(Inputs!$B$29="ARIDE cohort",ARIDE_Cohort!$B$3&gt;=Inputs!$B$30),E70,D70))</f>
        <v>0.01</v>
      </c>
      <c r="G70" s="20" t="str">
        <f aca="false">IF(AND(Inputs!$B$29="ARIDE cohort",ARIDE_Cohort!$B$3&gt;=Inputs!$B$30),IF(E70&gt;Inputs!$B$24,"ARIDE cohort","Floor (ARIDE share below floor)"),IF(D70&gt;Inputs!$B$24,"Indian literature",IF(D70&gt;0,"Floor (Indian share below floor)","Floor (no Indian data)")))</f>
        <v>Floor (no Indian data)</v>
      </c>
      <c r="H70" s="23" t="n">
        <f aca="false">IF(B70="AR",Inputs!$B$14,IF(B70="AD",Inputs!$B$15,Inputs!$B$16))</f>
        <v>1</v>
      </c>
      <c r="I70" s="12"/>
      <c r="J70" s="24" t="n">
        <f aca="false">IF(I70="",H70,I70)</f>
        <v>1</v>
      </c>
      <c r="K70" s="12"/>
      <c r="L70" s="24" t="n">
        <f aca="false">IF(K70="",Inputs!$B$20,K70)</f>
        <v>0.5</v>
      </c>
      <c r="M70" s="25" t="n">
        <f aca="false">IF(B70="AR",SQRT(Inputs!$B$9*F70/J70),IF(B70="AD",Inputs!$B$9*F70/(2*J70),2*Inputs!$B$9*F70/J70))</f>
        <v>0.00470090743184764</v>
      </c>
      <c r="N70" s="25" t="n">
        <f aca="false">IF(B70="AR",IF(Inputs!$B$25=0,SQRT(Inputs!$B$8*F70/J70),(-Inputs!$B$25+SQRT(Inputs!$B$25^2+4*(1-Inputs!$B$25)*Inputs!$B$8*F70/J70))/(2*(1-Inputs!$B$25))),IF(B70="AD",Inputs!$B$8*F70/(2*J70),2*Inputs!$B$8*F70/J70))</f>
        <v>0.00416319359719033</v>
      </c>
      <c r="O70" s="25" t="n">
        <f aca="false">MIN(Inputs!$B$26,M70*L70)</f>
        <v>0.00235045371592382</v>
      </c>
      <c r="P70" s="25" t="n">
        <f aca="false">MIN(Inputs!$B$26,O70*Inputs!$B$19)</f>
        <v>0.0235045371592382</v>
      </c>
      <c r="Q70" s="25" t="n">
        <f aca="false">MIN(O70,N70*Inputs!$B$21)</f>
        <v>0.000208159679859516</v>
      </c>
      <c r="R70" s="26"/>
      <c r="S70" s="26"/>
      <c r="T70" s="26"/>
      <c r="U70" s="20" t="str">
        <f aca="false">IF(COUNT(R70:T70)&gt;0,"Published spec (+calc where blank)","Calculated (this workbook)")</f>
        <v>Calculated (this workbook)</v>
      </c>
      <c r="V70" s="28" t="n">
        <f aca="false">IF(R70="",MAX(P70,W70),R70)</f>
        <v>0.0235045371592382</v>
      </c>
      <c r="W70" s="28" t="n">
        <f aca="false">IF(S70="",O70,S70)</f>
        <v>0.00235045371592382</v>
      </c>
      <c r="X70" s="28" t="n">
        <f aca="false">IF(T70="",Q70,T70)</f>
        <v>0.000208159679859516</v>
      </c>
      <c r="Y70" s="20" t="str">
        <f aca="false">IF(S70="","",IF(O70&lt;S70,"Calc STRICTER (lower)","Calc more lenient (higher)"))</f>
        <v/>
      </c>
      <c r="Z70" s="20" t="str">
        <f aca="false">IF(B70="XL","Hemizygous male AF (grpmax)","grpmax FAF95; check SAS, IndiGen, GenomeIndia")</f>
        <v>grpmax FAF95; check SAS, IndiGen, GenomeIndia</v>
      </c>
      <c r="AA70" s="20"/>
      <c r="AB70" s="20"/>
    </row>
    <row r="71" customFormat="false" ht="15" hidden="false" customHeight="false" outlineLevel="0" collapsed="false">
      <c r="A71" s="19" t="s">
        <v>200</v>
      </c>
      <c r="B71" s="20" t="s">
        <v>96</v>
      </c>
      <c r="C71" s="20" t="s">
        <v>105</v>
      </c>
      <c r="D71" s="21" t="n">
        <f aca="false">SUMIF(Indian_Gene_Shares!$B$5:$B$47,A71,Indian_Gene_Shares!$G$5:$G$47)</f>
        <v>0</v>
      </c>
      <c r="E71" s="9" t="n">
        <f aca="false">IFERROR(INDEX(ARIDE_Cohort!$C$6:$C$207,MATCH(A71,ARIDE_Cohort!$A$6:$A$207,0)),0)</f>
        <v>0</v>
      </c>
      <c r="F71" s="22" t="n">
        <f aca="false">MAX(Inputs!$B$24,IF(AND(Inputs!$B$29="ARIDE cohort",ARIDE_Cohort!$B$3&gt;=Inputs!$B$30),E71,D71))</f>
        <v>0.01</v>
      </c>
      <c r="G71" s="20" t="str">
        <f aca="false">IF(AND(Inputs!$B$29="ARIDE cohort",ARIDE_Cohort!$B$3&gt;=Inputs!$B$30),IF(E71&gt;Inputs!$B$24,"ARIDE cohort","Floor (ARIDE share below floor)"),IF(D71&gt;Inputs!$B$24,"Indian literature",IF(D71&gt;0,"Floor (Indian share below floor)","Floor (no Indian data)")))</f>
        <v>Floor (no Indian data)</v>
      </c>
      <c r="H71" s="23" t="n">
        <f aca="false">IF(B71="AR",Inputs!$B$14,IF(B71="AD",Inputs!$B$15,Inputs!$B$16))</f>
        <v>1</v>
      </c>
      <c r="I71" s="12"/>
      <c r="J71" s="24" t="n">
        <f aca="false">IF(I71="",H71,I71)</f>
        <v>1</v>
      </c>
      <c r="K71" s="12"/>
      <c r="L71" s="24" t="n">
        <f aca="false">IF(K71="",Inputs!$B$20,K71)</f>
        <v>0.5</v>
      </c>
      <c r="M71" s="25" t="n">
        <f aca="false">IF(B71="AR",SQRT(Inputs!$B$9*F71/J71),IF(B71="AD",Inputs!$B$9*F71/(2*J71),2*Inputs!$B$9*F71/J71))</f>
        <v>0.00470090743184764</v>
      </c>
      <c r="N71" s="25" t="n">
        <f aca="false">IF(B71="AR",IF(Inputs!$B$25=0,SQRT(Inputs!$B$8*F71/J71),(-Inputs!$B$25+SQRT(Inputs!$B$25^2+4*(1-Inputs!$B$25)*Inputs!$B$8*F71/J71))/(2*(1-Inputs!$B$25))),IF(B71="AD",Inputs!$B$8*F71/(2*J71),2*Inputs!$B$8*F71/J71))</f>
        <v>0.00416319359719033</v>
      </c>
      <c r="O71" s="25" t="n">
        <f aca="false">MIN(Inputs!$B$26,M71*L71)</f>
        <v>0.00235045371592382</v>
      </c>
      <c r="P71" s="25" t="n">
        <f aca="false">MIN(Inputs!$B$26,O71*Inputs!$B$19)</f>
        <v>0.0235045371592382</v>
      </c>
      <c r="Q71" s="25" t="n">
        <f aca="false">MIN(O71,N71*Inputs!$B$21)</f>
        <v>0.000208159679859516</v>
      </c>
      <c r="R71" s="26"/>
      <c r="S71" s="26"/>
      <c r="T71" s="26"/>
      <c r="U71" s="20" t="str">
        <f aca="false">IF(COUNT(R71:T71)&gt;0,"Published spec (+calc where blank)","Calculated (this workbook)")</f>
        <v>Calculated (this workbook)</v>
      </c>
      <c r="V71" s="28" t="n">
        <f aca="false">IF(R71="",MAX(P71,W71),R71)</f>
        <v>0.0235045371592382</v>
      </c>
      <c r="W71" s="28" t="n">
        <f aca="false">IF(S71="",O71,S71)</f>
        <v>0.00235045371592382</v>
      </c>
      <c r="X71" s="28" t="n">
        <f aca="false">IF(T71="",Q71,T71)</f>
        <v>0.000208159679859516</v>
      </c>
      <c r="Y71" s="20" t="str">
        <f aca="false">IF(S71="","",IF(O71&lt;S71,"Calc STRICTER (lower)","Calc more lenient (higher)"))</f>
        <v/>
      </c>
      <c r="Z71" s="20" t="str">
        <f aca="false">IF(B71="XL","Hemizygous male AF (grpmax)","grpmax FAF95; check SAS, IndiGen, GenomeIndia")</f>
        <v>grpmax FAF95; check SAS, IndiGen, GenomeIndia</v>
      </c>
      <c r="AA71" s="20"/>
      <c r="AB71" s="20"/>
    </row>
    <row r="72" customFormat="false" ht="15" hidden="false" customHeight="false" outlineLevel="0" collapsed="false">
      <c r="A72" s="19" t="s">
        <v>201</v>
      </c>
      <c r="B72" s="20" t="s">
        <v>96</v>
      </c>
      <c r="C72" s="20" t="s">
        <v>105</v>
      </c>
      <c r="D72" s="21" t="n">
        <f aca="false">SUMIF(Indian_Gene_Shares!$B$5:$B$47,A72,Indian_Gene_Shares!$G$5:$G$47)</f>
        <v>0</v>
      </c>
      <c r="E72" s="9" t="n">
        <f aca="false">IFERROR(INDEX(ARIDE_Cohort!$C$6:$C$207,MATCH(A72,ARIDE_Cohort!$A$6:$A$207,0)),0)</f>
        <v>0</v>
      </c>
      <c r="F72" s="22" t="n">
        <f aca="false">MAX(Inputs!$B$24,IF(AND(Inputs!$B$29="ARIDE cohort",ARIDE_Cohort!$B$3&gt;=Inputs!$B$30),E72,D72))</f>
        <v>0.01</v>
      </c>
      <c r="G72" s="20" t="str">
        <f aca="false">IF(AND(Inputs!$B$29="ARIDE cohort",ARIDE_Cohort!$B$3&gt;=Inputs!$B$30),IF(E72&gt;Inputs!$B$24,"ARIDE cohort","Floor (ARIDE share below floor)"),IF(D72&gt;Inputs!$B$24,"Indian literature",IF(D72&gt;0,"Floor (Indian share below floor)","Floor (no Indian data)")))</f>
        <v>Floor (no Indian data)</v>
      </c>
      <c r="H72" s="23" t="n">
        <f aca="false">IF(B72="AR",Inputs!$B$14,IF(B72="AD",Inputs!$B$15,Inputs!$B$16))</f>
        <v>1</v>
      </c>
      <c r="I72" s="12"/>
      <c r="J72" s="24" t="n">
        <f aca="false">IF(I72="",H72,I72)</f>
        <v>1</v>
      </c>
      <c r="K72" s="12"/>
      <c r="L72" s="24" t="n">
        <f aca="false">IF(K72="",Inputs!$B$20,K72)</f>
        <v>0.5</v>
      </c>
      <c r="M72" s="25" t="n">
        <f aca="false">IF(B72="AR",SQRT(Inputs!$B$9*F72/J72),IF(B72="AD",Inputs!$B$9*F72/(2*J72),2*Inputs!$B$9*F72/J72))</f>
        <v>0.00470090743184764</v>
      </c>
      <c r="N72" s="25" t="n">
        <f aca="false">IF(B72="AR",IF(Inputs!$B$25=0,SQRT(Inputs!$B$8*F72/J72),(-Inputs!$B$25+SQRT(Inputs!$B$25^2+4*(1-Inputs!$B$25)*Inputs!$B$8*F72/J72))/(2*(1-Inputs!$B$25))),IF(B72="AD",Inputs!$B$8*F72/(2*J72),2*Inputs!$B$8*F72/J72))</f>
        <v>0.00416319359719033</v>
      </c>
      <c r="O72" s="25" t="n">
        <f aca="false">MIN(Inputs!$B$26,M72*L72)</f>
        <v>0.00235045371592382</v>
      </c>
      <c r="P72" s="25" t="n">
        <f aca="false">MIN(Inputs!$B$26,O72*Inputs!$B$19)</f>
        <v>0.0235045371592382</v>
      </c>
      <c r="Q72" s="25" t="n">
        <f aca="false">MIN(O72,N72*Inputs!$B$21)</f>
        <v>0.000208159679859516</v>
      </c>
      <c r="R72" s="26"/>
      <c r="S72" s="26"/>
      <c r="T72" s="26"/>
      <c r="U72" s="20" t="str">
        <f aca="false">IF(COUNT(R72:T72)&gt;0,"Published spec (+calc where blank)","Calculated (this workbook)")</f>
        <v>Calculated (this workbook)</v>
      </c>
      <c r="V72" s="28" t="n">
        <f aca="false">IF(R72="",MAX(P72,W72),R72)</f>
        <v>0.0235045371592382</v>
      </c>
      <c r="W72" s="28" t="n">
        <f aca="false">IF(S72="",O72,S72)</f>
        <v>0.00235045371592382</v>
      </c>
      <c r="X72" s="28" t="n">
        <f aca="false">IF(T72="",Q72,T72)</f>
        <v>0.000208159679859516</v>
      </c>
      <c r="Y72" s="20" t="str">
        <f aca="false">IF(S72="","",IF(O72&lt;S72,"Calc STRICTER (lower)","Calc more lenient (higher)"))</f>
        <v/>
      </c>
      <c r="Z72" s="20" t="str">
        <f aca="false">IF(B72="XL","Hemizygous male AF (grpmax)","grpmax FAF95; check SAS, IndiGen, GenomeIndia")</f>
        <v>grpmax FAF95; check SAS, IndiGen, GenomeIndia</v>
      </c>
      <c r="AA72" s="20"/>
      <c r="AB72" s="20"/>
    </row>
    <row r="73" customFormat="false" ht="15" hidden="false" customHeight="false" outlineLevel="0" collapsed="false">
      <c r="A73" s="19" t="s">
        <v>202</v>
      </c>
      <c r="B73" s="20" t="s">
        <v>96</v>
      </c>
      <c r="C73" s="20" t="s">
        <v>103</v>
      </c>
      <c r="D73" s="21" t="n">
        <f aca="false">SUMIF(Indian_Gene_Shares!$B$5:$B$47,A73,Indian_Gene_Shares!$G$5:$G$47)</f>
        <v>0</v>
      </c>
      <c r="E73" s="9" t="n">
        <f aca="false">IFERROR(INDEX(ARIDE_Cohort!$C$6:$C$207,MATCH(A73,ARIDE_Cohort!$A$6:$A$207,0)),0)</f>
        <v>0</v>
      </c>
      <c r="F73" s="22" t="n">
        <f aca="false">MAX(Inputs!$B$24,IF(AND(Inputs!$B$29="ARIDE cohort",ARIDE_Cohort!$B$3&gt;=Inputs!$B$30),E73,D73))</f>
        <v>0.01</v>
      </c>
      <c r="G73" s="20" t="str">
        <f aca="false">IF(AND(Inputs!$B$29="ARIDE cohort",ARIDE_Cohort!$B$3&gt;=Inputs!$B$30),IF(E73&gt;Inputs!$B$24,"ARIDE cohort","Floor (ARIDE share below floor)"),IF(D73&gt;Inputs!$B$24,"Indian literature",IF(D73&gt;0,"Floor (Indian share below floor)","Floor (no Indian data)")))</f>
        <v>Floor (no Indian data)</v>
      </c>
      <c r="H73" s="23" t="n">
        <f aca="false">IF(B73="AR",Inputs!$B$14,IF(B73="AD",Inputs!$B$15,Inputs!$B$16))</f>
        <v>1</v>
      </c>
      <c r="I73" s="12"/>
      <c r="J73" s="24" t="n">
        <f aca="false">IF(I73="",H73,I73)</f>
        <v>1</v>
      </c>
      <c r="K73" s="12"/>
      <c r="L73" s="24" t="n">
        <f aca="false">IF(K73="",Inputs!$B$20,K73)</f>
        <v>0.5</v>
      </c>
      <c r="M73" s="25" t="n">
        <f aca="false">IF(B73="AR",SQRT(Inputs!$B$9*F73/J73),IF(B73="AD",Inputs!$B$9*F73/(2*J73),2*Inputs!$B$9*F73/J73))</f>
        <v>0.00470090743184764</v>
      </c>
      <c r="N73" s="25" t="n">
        <f aca="false">IF(B73="AR",IF(Inputs!$B$25=0,SQRT(Inputs!$B$8*F73/J73),(-Inputs!$B$25+SQRT(Inputs!$B$25^2+4*(1-Inputs!$B$25)*Inputs!$B$8*F73/J73))/(2*(1-Inputs!$B$25))),IF(B73="AD",Inputs!$B$8*F73/(2*J73),2*Inputs!$B$8*F73/J73))</f>
        <v>0.00416319359719033</v>
      </c>
      <c r="O73" s="25" t="n">
        <f aca="false">MIN(Inputs!$B$26,M73*L73)</f>
        <v>0.00235045371592382</v>
      </c>
      <c r="P73" s="25" t="n">
        <f aca="false">MIN(Inputs!$B$26,O73*Inputs!$B$19)</f>
        <v>0.0235045371592382</v>
      </c>
      <c r="Q73" s="25" t="n">
        <f aca="false">MIN(O73,N73*Inputs!$B$21)</f>
        <v>0.000208159679859516</v>
      </c>
      <c r="R73" s="26"/>
      <c r="S73" s="26"/>
      <c r="T73" s="26"/>
      <c r="U73" s="20" t="str">
        <f aca="false">IF(COUNT(R73:T73)&gt;0,"Published spec (+calc where blank)","Calculated (this workbook)")</f>
        <v>Calculated (this workbook)</v>
      </c>
      <c r="V73" s="28" t="n">
        <f aca="false">IF(R73="",MAX(P73,W73),R73)</f>
        <v>0.0235045371592382</v>
      </c>
      <c r="W73" s="28" t="n">
        <f aca="false">IF(S73="",O73,S73)</f>
        <v>0.00235045371592382</v>
      </c>
      <c r="X73" s="28" t="n">
        <f aca="false">IF(T73="",Q73,T73)</f>
        <v>0.000208159679859516</v>
      </c>
      <c r="Y73" s="20" t="str">
        <f aca="false">IF(S73="","",IF(O73&lt;S73,"Calc STRICTER (lower)","Calc more lenient (higher)"))</f>
        <v/>
      </c>
      <c r="Z73" s="20" t="str">
        <f aca="false">IF(B73="XL","Hemizygous male AF (grpmax)","grpmax FAF95; check SAS, IndiGen, GenomeIndia")</f>
        <v>grpmax FAF95; check SAS, IndiGen, GenomeIndia</v>
      </c>
      <c r="AA73" s="20"/>
      <c r="AB73" s="20"/>
    </row>
    <row r="74" customFormat="false" ht="15" hidden="false" customHeight="false" outlineLevel="0" collapsed="false">
      <c r="A74" s="19" t="s">
        <v>203</v>
      </c>
      <c r="B74" s="20" t="s">
        <v>109</v>
      </c>
      <c r="C74" s="20" t="s">
        <v>204</v>
      </c>
      <c r="D74" s="21" t="n">
        <f aca="false">SUMIF(Indian_Gene_Shares!$B$5:$B$47,A74,Indian_Gene_Shares!$G$5:$G$47)</f>
        <v>0</v>
      </c>
      <c r="E74" s="9" t="n">
        <f aca="false">IFERROR(INDEX(ARIDE_Cohort!$C$6:$C$207,MATCH(A74,ARIDE_Cohort!$A$6:$A$207,0)),0)</f>
        <v>0</v>
      </c>
      <c r="F74" s="22" t="n">
        <f aca="false">MAX(Inputs!$B$24,IF(AND(Inputs!$B$29="ARIDE cohort",ARIDE_Cohort!$B$3&gt;=Inputs!$B$30),E74,D74))</f>
        <v>0.01</v>
      </c>
      <c r="G74" s="20" t="str">
        <f aca="false">IF(AND(Inputs!$B$29="ARIDE cohort",ARIDE_Cohort!$B$3&gt;=Inputs!$B$30),IF(E74&gt;Inputs!$B$24,"ARIDE cohort","Floor (ARIDE share below floor)"),IF(D74&gt;Inputs!$B$24,"Indian literature",IF(D74&gt;0,"Floor (Indian share below floor)","Floor (no Indian data)")))</f>
        <v>Floor (no Indian data)</v>
      </c>
      <c r="H74" s="23" t="n">
        <f aca="false">IF(B74="AR",Inputs!$B$14,IF(B74="AD",Inputs!$B$15,Inputs!$B$16))</f>
        <v>0.5</v>
      </c>
      <c r="I74" s="12"/>
      <c r="J74" s="24" t="n">
        <f aca="false">IF(I74="",H74,I74)</f>
        <v>0.5</v>
      </c>
      <c r="K74" s="12"/>
      <c r="L74" s="24" t="n">
        <f aca="false">IF(K74="",Inputs!$B$20,K74)</f>
        <v>0.5</v>
      </c>
      <c r="M74" s="25" t="n">
        <f aca="false">IF(B74="AR",SQRT(Inputs!$B$9*F74/J74),IF(B74="AD",Inputs!$B$9*F74/(2*J74),2*Inputs!$B$9*F74/J74))</f>
        <v>2.20985306828003E-005</v>
      </c>
      <c r="N74" s="25" t="n">
        <f aca="false">IF(B74="AR",IF(Inputs!$B$25=0,SQRT(Inputs!$B$8*F74/J74),(-Inputs!$B$25+SQRT(Inputs!$B$25^2+4*(1-Inputs!$B$25)*Inputs!$B$8*F74/J74))/(2*(1-Inputs!$B$25))),IF(B74="AD",Inputs!$B$8*F74/(2*J74),2*Inputs!$B$8*F74/J74))</f>
        <v>1.73321809276865E-005</v>
      </c>
      <c r="O74" s="25" t="n">
        <f aca="false">MIN(Inputs!$B$26,M74*L74)</f>
        <v>1.10492653414002E-005</v>
      </c>
      <c r="P74" s="25" t="n">
        <f aca="false">MIN(Inputs!$B$26,O74*Inputs!$B$19)</f>
        <v>0.000110492653414002</v>
      </c>
      <c r="Q74" s="25" t="n">
        <f aca="false">MIN(O74,N74*Inputs!$B$21)</f>
        <v>8.66609046384327E-007</v>
      </c>
      <c r="R74" s="26"/>
      <c r="S74" s="26"/>
      <c r="T74" s="26"/>
      <c r="U74" s="20" t="str">
        <f aca="false">IF(COUNT(R74:T74)&gt;0,"Published spec (+calc where blank)","Calculated (this workbook)")</f>
        <v>Calculated (this workbook)</v>
      </c>
      <c r="V74" s="28" t="n">
        <f aca="false">IF(R74="",MAX(P74,W74),R74)</f>
        <v>0.000110492653414002</v>
      </c>
      <c r="W74" s="28" t="n">
        <f aca="false">IF(S74="",O74,S74)</f>
        <v>1.10492653414002E-005</v>
      </c>
      <c r="X74" s="28" t="n">
        <f aca="false">IF(T74="",Q74,T74)</f>
        <v>8.66609046384327E-007</v>
      </c>
      <c r="Y74" s="20" t="str">
        <f aca="false">IF(S74="","",IF(O74&lt;S74,"Calc STRICTER (lower)","Calc more lenient (higher)"))</f>
        <v/>
      </c>
      <c r="Z74" s="20" t="str">
        <f aca="false">IF(B74="XL","Hemizygous male AF (grpmax)","grpmax FAF95; check SAS, IndiGen, GenomeIndia")</f>
        <v>grpmax FAF95; check SAS, IndiGen, GenomeIndia</v>
      </c>
      <c r="AA74" s="20"/>
      <c r="AB74" s="20"/>
    </row>
    <row r="75" customFormat="false" ht="15" hidden="false" customHeight="false" outlineLevel="0" collapsed="false">
      <c r="A75" s="19" t="s">
        <v>205</v>
      </c>
      <c r="B75" s="20" t="s">
        <v>109</v>
      </c>
      <c r="C75" s="20" t="s">
        <v>206</v>
      </c>
      <c r="D75" s="21" t="n">
        <f aca="false">SUMIF(Indian_Gene_Shares!$B$5:$B$47,A75,Indian_Gene_Shares!$G$5:$G$47)</f>
        <v>0</v>
      </c>
      <c r="E75" s="9" t="n">
        <f aca="false">IFERROR(INDEX(ARIDE_Cohort!$C$6:$C$207,MATCH(A75,ARIDE_Cohort!$A$6:$A$207,0)),0)</f>
        <v>0</v>
      </c>
      <c r="F75" s="22" t="n">
        <f aca="false">MAX(Inputs!$B$24,IF(AND(Inputs!$B$29="ARIDE cohort",ARIDE_Cohort!$B$3&gt;=Inputs!$B$30),E75,D75))</f>
        <v>0.01</v>
      </c>
      <c r="G75" s="20" t="str">
        <f aca="false">IF(AND(Inputs!$B$29="ARIDE cohort",ARIDE_Cohort!$B$3&gt;=Inputs!$B$30),IF(E75&gt;Inputs!$B$24,"ARIDE cohort","Floor (ARIDE share below floor)"),IF(D75&gt;Inputs!$B$24,"Indian literature",IF(D75&gt;0,"Floor (Indian share below floor)","Floor (no Indian data)")))</f>
        <v>Floor (no Indian data)</v>
      </c>
      <c r="H75" s="23" t="n">
        <f aca="false">IF(B75="AR",Inputs!$B$14,IF(B75="AD",Inputs!$B$15,Inputs!$B$16))</f>
        <v>0.5</v>
      </c>
      <c r="I75" s="12"/>
      <c r="J75" s="24" t="n">
        <f aca="false">IF(I75="",H75,I75)</f>
        <v>0.5</v>
      </c>
      <c r="K75" s="12"/>
      <c r="L75" s="24" t="n">
        <f aca="false">IF(K75="",Inputs!$B$20,K75)</f>
        <v>0.5</v>
      </c>
      <c r="M75" s="25" t="n">
        <f aca="false">IF(B75="AR",SQRT(Inputs!$B$9*F75/J75),IF(B75="AD",Inputs!$B$9*F75/(2*J75),2*Inputs!$B$9*F75/J75))</f>
        <v>2.20985306828003E-005</v>
      </c>
      <c r="N75" s="25" t="n">
        <f aca="false">IF(B75="AR",IF(Inputs!$B$25=0,SQRT(Inputs!$B$8*F75/J75),(-Inputs!$B$25+SQRT(Inputs!$B$25^2+4*(1-Inputs!$B$25)*Inputs!$B$8*F75/J75))/(2*(1-Inputs!$B$25))),IF(B75="AD",Inputs!$B$8*F75/(2*J75),2*Inputs!$B$8*F75/J75))</f>
        <v>1.73321809276865E-005</v>
      </c>
      <c r="O75" s="25" t="n">
        <f aca="false">MIN(Inputs!$B$26,M75*L75)</f>
        <v>1.10492653414002E-005</v>
      </c>
      <c r="P75" s="25" t="n">
        <f aca="false">MIN(Inputs!$B$26,O75*Inputs!$B$19)</f>
        <v>0.000110492653414002</v>
      </c>
      <c r="Q75" s="25" t="n">
        <f aca="false">MIN(O75,N75*Inputs!$B$21)</f>
        <v>8.66609046384327E-007</v>
      </c>
      <c r="R75" s="26"/>
      <c r="S75" s="26"/>
      <c r="T75" s="26"/>
      <c r="U75" s="20" t="str">
        <f aca="false">IF(COUNT(R75:T75)&gt;0,"Published spec (+calc where blank)","Calculated (this workbook)")</f>
        <v>Calculated (this workbook)</v>
      </c>
      <c r="V75" s="28" t="n">
        <f aca="false">IF(R75="",MAX(P75,W75),R75)</f>
        <v>0.000110492653414002</v>
      </c>
      <c r="W75" s="28" t="n">
        <f aca="false">IF(S75="",O75,S75)</f>
        <v>1.10492653414002E-005</v>
      </c>
      <c r="X75" s="28" t="n">
        <f aca="false">IF(T75="",Q75,T75)</f>
        <v>8.66609046384327E-007</v>
      </c>
      <c r="Y75" s="20" t="str">
        <f aca="false">IF(S75="","",IF(O75&lt;S75,"Calc STRICTER (lower)","Calc more lenient (higher)"))</f>
        <v/>
      </c>
      <c r="Z75" s="20" t="str">
        <f aca="false">IF(B75="XL","Hemizygous male AF (grpmax)","grpmax FAF95; check SAS, IndiGen, GenomeIndia")</f>
        <v>grpmax FAF95; check SAS, IndiGen, GenomeIndia</v>
      </c>
      <c r="AA75" s="20"/>
      <c r="AB75" s="20"/>
    </row>
    <row r="76" customFormat="false" ht="15" hidden="false" customHeight="false" outlineLevel="0" collapsed="false">
      <c r="A76" s="19" t="s">
        <v>207</v>
      </c>
      <c r="B76" s="20" t="s">
        <v>96</v>
      </c>
      <c r="C76" s="20" t="s">
        <v>105</v>
      </c>
      <c r="D76" s="21" t="n">
        <f aca="false">SUMIF(Indian_Gene_Shares!$B$5:$B$47,A76,Indian_Gene_Shares!$G$5:$G$47)</f>
        <v>0</v>
      </c>
      <c r="E76" s="9" t="n">
        <f aca="false">IFERROR(INDEX(ARIDE_Cohort!$C$6:$C$207,MATCH(A76,ARIDE_Cohort!$A$6:$A$207,0)),0)</f>
        <v>0</v>
      </c>
      <c r="F76" s="22" t="n">
        <f aca="false">MAX(Inputs!$B$24,IF(AND(Inputs!$B$29="ARIDE cohort",ARIDE_Cohort!$B$3&gt;=Inputs!$B$30),E76,D76))</f>
        <v>0.01</v>
      </c>
      <c r="G76" s="20" t="str">
        <f aca="false">IF(AND(Inputs!$B$29="ARIDE cohort",ARIDE_Cohort!$B$3&gt;=Inputs!$B$30),IF(E76&gt;Inputs!$B$24,"ARIDE cohort","Floor (ARIDE share below floor)"),IF(D76&gt;Inputs!$B$24,"Indian literature",IF(D76&gt;0,"Floor (Indian share below floor)","Floor (no Indian data)")))</f>
        <v>Floor (no Indian data)</v>
      </c>
      <c r="H76" s="23" t="n">
        <f aca="false">IF(B76="AR",Inputs!$B$14,IF(B76="AD",Inputs!$B$15,Inputs!$B$16))</f>
        <v>1</v>
      </c>
      <c r="I76" s="12"/>
      <c r="J76" s="24" t="n">
        <f aca="false">IF(I76="",H76,I76)</f>
        <v>1</v>
      </c>
      <c r="K76" s="12"/>
      <c r="L76" s="24" t="n">
        <f aca="false">IF(K76="",Inputs!$B$20,K76)</f>
        <v>0.5</v>
      </c>
      <c r="M76" s="25" t="n">
        <f aca="false">IF(B76="AR",SQRT(Inputs!$B$9*F76/J76),IF(B76="AD",Inputs!$B$9*F76/(2*J76),2*Inputs!$B$9*F76/J76))</f>
        <v>0.00470090743184764</v>
      </c>
      <c r="N76" s="25" t="n">
        <f aca="false">IF(B76="AR",IF(Inputs!$B$25=0,SQRT(Inputs!$B$8*F76/J76),(-Inputs!$B$25+SQRT(Inputs!$B$25^2+4*(1-Inputs!$B$25)*Inputs!$B$8*F76/J76))/(2*(1-Inputs!$B$25))),IF(B76="AD",Inputs!$B$8*F76/(2*J76),2*Inputs!$B$8*F76/J76))</f>
        <v>0.00416319359719033</v>
      </c>
      <c r="O76" s="25" t="n">
        <f aca="false">MIN(Inputs!$B$26,M76*L76)</f>
        <v>0.00235045371592382</v>
      </c>
      <c r="P76" s="25" t="n">
        <f aca="false">MIN(Inputs!$B$26,O76*Inputs!$B$19)</f>
        <v>0.0235045371592382</v>
      </c>
      <c r="Q76" s="25" t="n">
        <f aca="false">MIN(O76,N76*Inputs!$B$21)</f>
        <v>0.000208159679859516</v>
      </c>
      <c r="R76" s="26"/>
      <c r="S76" s="26"/>
      <c r="T76" s="26"/>
      <c r="U76" s="20" t="str">
        <f aca="false">IF(COUNT(R76:T76)&gt;0,"Published spec (+calc where blank)","Calculated (this workbook)")</f>
        <v>Calculated (this workbook)</v>
      </c>
      <c r="V76" s="28" t="n">
        <f aca="false">IF(R76="",MAX(P76,W76),R76)</f>
        <v>0.0235045371592382</v>
      </c>
      <c r="W76" s="28" t="n">
        <f aca="false">IF(S76="",O76,S76)</f>
        <v>0.00235045371592382</v>
      </c>
      <c r="X76" s="28" t="n">
        <f aca="false">IF(T76="",Q76,T76)</f>
        <v>0.000208159679859516</v>
      </c>
      <c r="Y76" s="20" t="str">
        <f aca="false">IF(S76="","",IF(O76&lt;S76,"Calc STRICTER (lower)","Calc more lenient (higher)"))</f>
        <v/>
      </c>
      <c r="Z76" s="20" t="str">
        <f aca="false">IF(B76="XL","Hemizygous male AF (grpmax)","grpmax FAF95; check SAS, IndiGen, GenomeIndia")</f>
        <v>grpmax FAF95; check SAS, IndiGen, GenomeIndia</v>
      </c>
      <c r="AA76" s="20"/>
      <c r="AB76" s="20"/>
    </row>
    <row r="77" customFormat="false" ht="15" hidden="false" customHeight="false" outlineLevel="0" collapsed="false">
      <c r="A77" s="19" t="s">
        <v>208</v>
      </c>
      <c r="B77" s="20" t="s">
        <v>96</v>
      </c>
      <c r="C77" s="20" t="s">
        <v>105</v>
      </c>
      <c r="D77" s="21" t="n">
        <f aca="false">SUMIF(Indian_Gene_Shares!$B$5:$B$47,A77,Indian_Gene_Shares!$G$5:$G$47)</f>
        <v>0.0538497340425532</v>
      </c>
      <c r="E77" s="9" t="n">
        <f aca="false">IFERROR(INDEX(ARIDE_Cohort!$C$6:$C$207,MATCH(A77,ARIDE_Cohort!$A$6:$A$207,0)),0)</f>
        <v>0</v>
      </c>
      <c r="F77" s="22" t="n">
        <f aca="false">MAX(Inputs!$B$24,IF(AND(Inputs!$B$29="ARIDE cohort",ARIDE_Cohort!$B$3&gt;=Inputs!$B$30),E77,D77))</f>
        <v>0.0538497340425532</v>
      </c>
      <c r="G77" s="20" t="str">
        <f aca="false">IF(AND(Inputs!$B$29="ARIDE cohort",ARIDE_Cohort!$B$3&gt;=Inputs!$B$30),IF(E77&gt;Inputs!$B$24,"ARIDE cohort","Floor (ARIDE share below floor)"),IF(D77&gt;Inputs!$B$24,"Indian literature",IF(D77&gt;0,"Floor (Indian share below floor)","Floor (no Indian data)")))</f>
        <v>Indian literature</v>
      </c>
      <c r="H77" s="23" t="n">
        <f aca="false">IF(B77="AR",Inputs!$B$14,IF(B77="AD",Inputs!$B$15,Inputs!$B$16))</f>
        <v>1</v>
      </c>
      <c r="I77" s="12"/>
      <c r="J77" s="24" t="n">
        <f aca="false">IF(I77="",H77,I77)</f>
        <v>1</v>
      </c>
      <c r="K77" s="12"/>
      <c r="L77" s="24" t="n">
        <f aca="false">IF(K77="",Inputs!$B$20,K77)</f>
        <v>0.5</v>
      </c>
      <c r="M77" s="25" t="n">
        <f aca="false">IF(B77="AR",SQRT(Inputs!$B$9*F77/J77),IF(B77="AD",Inputs!$B$9*F77/(2*J77),2*Inputs!$B$9*F77/J77))</f>
        <v>0.0109087121146357</v>
      </c>
      <c r="N77" s="25" t="n">
        <f aca="false">IF(B77="AR",IF(Inputs!$B$25=0,SQRT(Inputs!$B$8*F77/J77),(-Inputs!$B$25+SQRT(Inputs!$B$25^2+4*(1-Inputs!$B$25)*Inputs!$B$8*F77/J77))/(2*(1-Inputs!$B$25))),IF(B77="AD",Inputs!$B$8*F77/(2*J77),2*Inputs!$B$8*F77/J77))</f>
        <v>0.00966091783079296</v>
      </c>
      <c r="O77" s="25" t="n">
        <f aca="false">MIN(Inputs!$B$26,M77*L77)</f>
        <v>0.00545435605731786</v>
      </c>
      <c r="P77" s="25" t="n">
        <f aca="false">MIN(Inputs!$B$26,O77*Inputs!$B$19)</f>
        <v>0.05</v>
      </c>
      <c r="Q77" s="25" t="n">
        <f aca="false">MIN(O77,N77*Inputs!$B$21)</f>
        <v>0.000483045891539648</v>
      </c>
      <c r="R77" s="26"/>
      <c r="S77" s="26"/>
      <c r="T77" s="26"/>
      <c r="U77" s="20" t="str">
        <f aca="false">IF(COUNT(R77:T77)&gt;0,"Published spec (+calc where blank)","Calculated (this workbook)")</f>
        <v>Calculated (this workbook)</v>
      </c>
      <c r="V77" s="28" t="n">
        <f aca="false">IF(R77="",MAX(P77,W77),R77)</f>
        <v>0.05</v>
      </c>
      <c r="W77" s="28" t="n">
        <f aca="false">IF(S77="",O77,S77)</f>
        <v>0.00545435605731786</v>
      </c>
      <c r="X77" s="28" t="n">
        <f aca="false">IF(T77="",Q77,T77)</f>
        <v>0.000483045891539648</v>
      </c>
      <c r="Y77" s="20" t="str">
        <f aca="false">IF(S77="","",IF(O77&lt;S77,"Calc STRICTER (lower)","Calc more lenient (higher)"))</f>
        <v/>
      </c>
      <c r="Z77" s="20" t="str">
        <f aca="false">IF(B77="XL","Hemizygous male AF (grpmax)","grpmax FAF95; check SAS, IndiGen, GenomeIndia")</f>
        <v>grpmax FAF95; check SAS, IndiGen, GenomeIndia</v>
      </c>
      <c r="AA77" s="20"/>
      <c r="AB77" s="20"/>
    </row>
    <row r="78" customFormat="false" ht="15" hidden="false" customHeight="false" outlineLevel="0" collapsed="false">
      <c r="A78" s="19" t="s">
        <v>209</v>
      </c>
      <c r="B78" s="20" t="s">
        <v>96</v>
      </c>
      <c r="C78" s="20" t="s">
        <v>105</v>
      </c>
      <c r="D78" s="21" t="n">
        <f aca="false">SUMIF(Indian_Gene_Shares!$B$5:$B$47,A78,Indian_Gene_Shares!$G$5:$G$47)</f>
        <v>0.0230784574468085</v>
      </c>
      <c r="E78" s="9" t="n">
        <f aca="false">IFERROR(INDEX(ARIDE_Cohort!$C$6:$C$207,MATCH(A78,ARIDE_Cohort!$A$6:$A$207,0)),0)</f>
        <v>0</v>
      </c>
      <c r="F78" s="22" t="n">
        <f aca="false">MAX(Inputs!$B$24,IF(AND(Inputs!$B$29="ARIDE cohort",ARIDE_Cohort!$B$3&gt;=Inputs!$B$30),E78,D78))</f>
        <v>0.0230784574468085</v>
      </c>
      <c r="G78" s="20" t="str">
        <f aca="false">IF(AND(Inputs!$B$29="ARIDE cohort",ARIDE_Cohort!$B$3&gt;=Inputs!$B$30),IF(E78&gt;Inputs!$B$24,"ARIDE cohort","Floor (ARIDE share below floor)"),IF(D78&gt;Inputs!$B$24,"Indian literature",IF(D78&gt;0,"Floor (Indian share below floor)","Floor (no Indian data)")))</f>
        <v>Indian literature</v>
      </c>
      <c r="H78" s="23" t="n">
        <f aca="false">IF(B78="AR",Inputs!$B$14,IF(B78="AD",Inputs!$B$15,Inputs!$B$16))</f>
        <v>1</v>
      </c>
      <c r="I78" s="12"/>
      <c r="J78" s="24" t="n">
        <f aca="false">IF(I78="",H78,I78)</f>
        <v>1</v>
      </c>
      <c r="K78" s="12"/>
      <c r="L78" s="24" t="n">
        <f aca="false">IF(K78="",Inputs!$B$20,K78)</f>
        <v>0.5</v>
      </c>
      <c r="M78" s="25" t="n">
        <f aca="false">IF(B78="AR",SQRT(Inputs!$B$9*F78/J78),IF(B78="AD",Inputs!$B$9*F78/(2*J78),2*Inputs!$B$9*F78/J78))</f>
        <v>0.00714142842854285</v>
      </c>
      <c r="N78" s="25" t="n">
        <f aca="false">IF(B78="AR",IF(Inputs!$B$25=0,SQRT(Inputs!$B$8*F78/J78),(-Inputs!$B$25+SQRT(Inputs!$B$25^2+4*(1-Inputs!$B$25)*Inputs!$B$8*F78/J78))/(2*(1-Inputs!$B$25))),IF(B78="AD",Inputs!$B$8*F78/(2*J78),2*Inputs!$B$8*F78/J78))</f>
        <v>0.00632455532033676</v>
      </c>
      <c r="O78" s="25" t="n">
        <f aca="false">MIN(Inputs!$B$26,M78*L78)</f>
        <v>0.00357071421427143</v>
      </c>
      <c r="P78" s="25" t="n">
        <f aca="false">MIN(Inputs!$B$26,O78*Inputs!$B$19)</f>
        <v>0.0357071421427143</v>
      </c>
      <c r="Q78" s="25" t="n">
        <f aca="false">MIN(O78,N78*Inputs!$B$21)</f>
        <v>0.000316227766016838</v>
      </c>
      <c r="R78" s="26"/>
      <c r="S78" s="26"/>
      <c r="T78" s="26"/>
      <c r="U78" s="20" t="str">
        <f aca="false">IF(COUNT(R78:T78)&gt;0,"Published spec (+calc where blank)","Calculated (this workbook)")</f>
        <v>Calculated (this workbook)</v>
      </c>
      <c r="V78" s="28" t="n">
        <f aca="false">IF(R78="",MAX(P78,W78),R78)</f>
        <v>0.0357071421427143</v>
      </c>
      <c r="W78" s="28" t="n">
        <f aca="false">IF(S78="",O78,S78)</f>
        <v>0.00357071421427143</v>
      </c>
      <c r="X78" s="28" t="n">
        <f aca="false">IF(T78="",Q78,T78)</f>
        <v>0.000316227766016838</v>
      </c>
      <c r="Y78" s="20" t="str">
        <f aca="false">IF(S78="","",IF(O78&lt;S78,"Calc STRICTER (lower)","Calc more lenient (higher)"))</f>
        <v/>
      </c>
      <c r="Z78" s="20" t="str">
        <f aca="false">IF(B78="XL","Hemizygous male AF (grpmax)","grpmax FAF95; check SAS, IndiGen, GenomeIndia")</f>
        <v>grpmax FAF95; check SAS, IndiGen, GenomeIndia</v>
      </c>
      <c r="AA78" s="20"/>
      <c r="AB78" s="20"/>
    </row>
    <row r="79" customFormat="false" ht="15" hidden="false" customHeight="false" outlineLevel="0" collapsed="false">
      <c r="A79" s="19" t="s">
        <v>210</v>
      </c>
      <c r="B79" s="20" t="s">
        <v>109</v>
      </c>
      <c r="C79" s="20" t="s">
        <v>211</v>
      </c>
      <c r="D79" s="21" t="n">
        <f aca="false">SUMIF(Indian_Gene_Shares!$B$5:$B$47,A79,Indian_Gene_Shares!$G$5:$G$47)</f>
        <v>0</v>
      </c>
      <c r="E79" s="9" t="n">
        <f aca="false">IFERROR(INDEX(ARIDE_Cohort!$C$6:$C$207,MATCH(A79,ARIDE_Cohort!$A$6:$A$207,0)),0)</f>
        <v>0</v>
      </c>
      <c r="F79" s="22" t="n">
        <f aca="false">MAX(Inputs!$B$24,IF(AND(Inputs!$B$29="ARIDE cohort",ARIDE_Cohort!$B$3&gt;=Inputs!$B$30),E79,D79))</f>
        <v>0.01</v>
      </c>
      <c r="G79" s="20" t="str">
        <f aca="false">IF(AND(Inputs!$B$29="ARIDE cohort",ARIDE_Cohort!$B$3&gt;=Inputs!$B$30),IF(E79&gt;Inputs!$B$24,"ARIDE cohort","Floor (ARIDE share below floor)"),IF(D79&gt;Inputs!$B$24,"Indian literature",IF(D79&gt;0,"Floor (Indian share below floor)","Floor (no Indian data)")))</f>
        <v>Floor (no Indian data)</v>
      </c>
      <c r="H79" s="23" t="n">
        <f aca="false">IF(B79="AR",Inputs!$B$14,IF(B79="AD",Inputs!$B$15,Inputs!$B$16))</f>
        <v>0.5</v>
      </c>
      <c r="I79" s="12"/>
      <c r="J79" s="24" t="n">
        <f aca="false">IF(I79="",H79,I79)</f>
        <v>0.5</v>
      </c>
      <c r="K79" s="12"/>
      <c r="L79" s="24" t="n">
        <f aca="false">IF(K79="",Inputs!$B$20,K79)</f>
        <v>0.5</v>
      </c>
      <c r="M79" s="25" t="n">
        <f aca="false">IF(B79="AR",SQRT(Inputs!$B$9*F79/J79),IF(B79="AD",Inputs!$B$9*F79/(2*J79),2*Inputs!$B$9*F79/J79))</f>
        <v>2.20985306828003E-005</v>
      </c>
      <c r="N79" s="25" t="n">
        <f aca="false">IF(B79="AR",IF(Inputs!$B$25=0,SQRT(Inputs!$B$8*F79/J79),(-Inputs!$B$25+SQRT(Inputs!$B$25^2+4*(1-Inputs!$B$25)*Inputs!$B$8*F79/J79))/(2*(1-Inputs!$B$25))),IF(B79="AD",Inputs!$B$8*F79/(2*J79),2*Inputs!$B$8*F79/J79))</f>
        <v>1.73321809276865E-005</v>
      </c>
      <c r="O79" s="25" t="n">
        <f aca="false">MIN(Inputs!$B$26,M79*L79)</f>
        <v>1.10492653414002E-005</v>
      </c>
      <c r="P79" s="25" t="n">
        <f aca="false">MIN(Inputs!$B$26,O79*Inputs!$B$19)</f>
        <v>0.000110492653414002</v>
      </c>
      <c r="Q79" s="25" t="n">
        <f aca="false">MIN(O79,N79*Inputs!$B$21)</f>
        <v>8.66609046384327E-007</v>
      </c>
      <c r="R79" s="26"/>
      <c r="S79" s="26"/>
      <c r="T79" s="26"/>
      <c r="U79" s="20" t="str">
        <f aca="false">IF(COUNT(R79:T79)&gt;0,"Published spec (+calc where blank)","Calculated (this workbook)")</f>
        <v>Calculated (this workbook)</v>
      </c>
      <c r="V79" s="28" t="n">
        <f aca="false">IF(R79="",MAX(P79,W79),R79)</f>
        <v>0.000110492653414002</v>
      </c>
      <c r="W79" s="28" t="n">
        <f aca="false">IF(S79="",O79,S79)</f>
        <v>1.10492653414002E-005</v>
      </c>
      <c r="X79" s="28" t="n">
        <f aca="false">IF(T79="",Q79,T79)</f>
        <v>8.66609046384327E-007</v>
      </c>
      <c r="Y79" s="20" t="str">
        <f aca="false">IF(S79="","",IF(O79&lt;S79,"Calc STRICTER (lower)","Calc more lenient (higher)"))</f>
        <v/>
      </c>
      <c r="Z79" s="20" t="str">
        <f aca="false">IF(B79="XL","Hemizygous male AF (grpmax)","grpmax FAF95; check SAS, IndiGen, GenomeIndia")</f>
        <v>grpmax FAF95; check SAS, IndiGen, GenomeIndia</v>
      </c>
      <c r="AA79" s="20"/>
      <c r="AB79" s="20"/>
    </row>
    <row r="80" customFormat="false" ht="15" hidden="false" customHeight="false" outlineLevel="0" collapsed="false">
      <c r="A80" s="19" t="s">
        <v>212</v>
      </c>
      <c r="B80" s="20" t="s">
        <v>109</v>
      </c>
      <c r="C80" s="20" t="s">
        <v>213</v>
      </c>
      <c r="D80" s="21" t="n">
        <f aca="false">SUMIF(Indian_Gene_Shares!$B$5:$B$47,A80,Indian_Gene_Shares!$G$5:$G$47)</f>
        <v>0</v>
      </c>
      <c r="E80" s="9" t="n">
        <f aca="false">IFERROR(INDEX(ARIDE_Cohort!$C$6:$C$207,MATCH(A80,ARIDE_Cohort!$A$6:$A$207,0)),0)</f>
        <v>0</v>
      </c>
      <c r="F80" s="22" t="n">
        <f aca="false">MAX(Inputs!$B$24,IF(AND(Inputs!$B$29="ARIDE cohort",ARIDE_Cohort!$B$3&gt;=Inputs!$B$30),E80,D80))</f>
        <v>0.01</v>
      </c>
      <c r="G80" s="20" t="str">
        <f aca="false">IF(AND(Inputs!$B$29="ARIDE cohort",ARIDE_Cohort!$B$3&gt;=Inputs!$B$30),IF(E80&gt;Inputs!$B$24,"ARIDE cohort","Floor (ARIDE share below floor)"),IF(D80&gt;Inputs!$B$24,"Indian literature",IF(D80&gt;0,"Floor (Indian share below floor)","Floor (no Indian data)")))</f>
        <v>Floor (no Indian data)</v>
      </c>
      <c r="H80" s="23" t="n">
        <f aca="false">IF(B80="AR",Inputs!$B$14,IF(B80="AD",Inputs!$B$15,Inputs!$B$16))</f>
        <v>0.5</v>
      </c>
      <c r="I80" s="12"/>
      <c r="J80" s="24" t="n">
        <f aca="false">IF(I80="",H80,I80)</f>
        <v>0.5</v>
      </c>
      <c r="K80" s="12"/>
      <c r="L80" s="24" t="n">
        <f aca="false">IF(K80="",Inputs!$B$20,K80)</f>
        <v>0.5</v>
      </c>
      <c r="M80" s="25" t="n">
        <f aca="false">IF(B80="AR",SQRT(Inputs!$B$9*F80/J80),IF(B80="AD",Inputs!$B$9*F80/(2*J80),2*Inputs!$B$9*F80/J80))</f>
        <v>2.20985306828003E-005</v>
      </c>
      <c r="N80" s="25" t="n">
        <f aca="false">IF(B80="AR",IF(Inputs!$B$25=0,SQRT(Inputs!$B$8*F80/J80),(-Inputs!$B$25+SQRT(Inputs!$B$25^2+4*(1-Inputs!$B$25)*Inputs!$B$8*F80/J80))/(2*(1-Inputs!$B$25))),IF(B80="AD",Inputs!$B$8*F80/(2*J80),2*Inputs!$B$8*F80/J80))</f>
        <v>1.73321809276865E-005</v>
      </c>
      <c r="O80" s="25" t="n">
        <f aca="false">MIN(Inputs!$B$26,M80*L80)</f>
        <v>1.10492653414002E-005</v>
      </c>
      <c r="P80" s="25" t="n">
        <f aca="false">MIN(Inputs!$B$26,O80*Inputs!$B$19)</f>
        <v>0.000110492653414002</v>
      </c>
      <c r="Q80" s="25" t="n">
        <f aca="false">MIN(O80,N80*Inputs!$B$21)</f>
        <v>8.66609046384327E-007</v>
      </c>
      <c r="R80" s="26"/>
      <c r="S80" s="26"/>
      <c r="T80" s="26"/>
      <c r="U80" s="20" t="str">
        <f aca="false">IF(COUNT(R80:T80)&gt;0,"Published spec (+calc where blank)","Calculated (this workbook)")</f>
        <v>Calculated (this workbook)</v>
      </c>
      <c r="V80" s="28" t="n">
        <f aca="false">IF(R80="",MAX(P80,W80),R80)</f>
        <v>0.000110492653414002</v>
      </c>
      <c r="W80" s="28" t="n">
        <f aca="false">IF(S80="",O80,S80)</f>
        <v>1.10492653414002E-005</v>
      </c>
      <c r="X80" s="28" t="n">
        <f aca="false">IF(T80="",Q80,T80)</f>
        <v>8.66609046384327E-007</v>
      </c>
      <c r="Y80" s="20" t="str">
        <f aca="false">IF(S80="","",IF(O80&lt;S80,"Calc STRICTER (lower)","Calc more lenient (higher)"))</f>
        <v/>
      </c>
      <c r="Z80" s="20" t="str">
        <f aca="false">IF(B80="XL","Hemizygous male AF (grpmax)","grpmax FAF95; check SAS, IndiGen, GenomeIndia")</f>
        <v>grpmax FAF95; check SAS, IndiGen, GenomeIndia</v>
      </c>
      <c r="AA80" s="20"/>
      <c r="AB80" s="20"/>
    </row>
    <row r="81" customFormat="false" ht="15" hidden="false" customHeight="false" outlineLevel="0" collapsed="false">
      <c r="A81" s="19" t="s">
        <v>212</v>
      </c>
      <c r="B81" s="20" t="s">
        <v>96</v>
      </c>
      <c r="C81" s="20" t="s">
        <v>214</v>
      </c>
      <c r="D81" s="21" t="n">
        <f aca="false">SUMIF(Indian_Gene_Shares!$B$5:$B$47,A81,Indian_Gene_Shares!$G$5:$G$47)</f>
        <v>0</v>
      </c>
      <c r="E81" s="9" t="n">
        <f aca="false">IFERROR(INDEX(ARIDE_Cohort!$C$6:$C$207,MATCH(A81,ARIDE_Cohort!$A$6:$A$207,0)),0)</f>
        <v>0</v>
      </c>
      <c r="F81" s="22" t="n">
        <f aca="false">MAX(Inputs!$B$24,IF(AND(Inputs!$B$29="ARIDE cohort",ARIDE_Cohort!$B$3&gt;=Inputs!$B$30),E81,D81))</f>
        <v>0.01</v>
      </c>
      <c r="G81" s="20" t="str">
        <f aca="false">IF(AND(Inputs!$B$29="ARIDE cohort",ARIDE_Cohort!$B$3&gt;=Inputs!$B$30),IF(E81&gt;Inputs!$B$24,"ARIDE cohort","Floor (ARIDE share below floor)"),IF(D81&gt;Inputs!$B$24,"Indian literature",IF(D81&gt;0,"Floor (Indian share below floor)","Floor (no Indian data)")))</f>
        <v>Floor (no Indian data)</v>
      </c>
      <c r="H81" s="23" t="n">
        <f aca="false">IF(B81="AR",Inputs!$B$14,IF(B81="AD",Inputs!$B$15,Inputs!$B$16))</f>
        <v>1</v>
      </c>
      <c r="I81" s="12"/>
      <c r="J81" s="24" t="n">
        <f aca="false">IF(I81="",H81,I81)</f>
        <v>1</v>
      </c>
      <c r="K81" s="12"/>
      <c r="L81" s="24" t="n">
        <f aca="false">IF(K81="",Inputs!$B$20,K81)</f>
        <v>0.5</v>
      </c>
      <c r="M81" s="25" t="n">
        <f aca="false">IF(B81="AR",SQRT(Inputs!$B$9*F81/J81),IF(B81="AD",Inputs!$B$9*F81/(2*J81),2*Inputs!$B$9*F81/J81))</f>
        <v>0.00470090743184764</v>
      </c>
      <c r="N81" s="25" t="n">
        <f aca="false">IF(B81="AR",IF(Inputs!$B$25=0,SQRT(Inputs!$B$8*F81/J81),(-Inputs!$B$25+SQRT(Inputs!$B$25^2+4*(1-Inputs!$B$25)*Inputs!$B$8*F81/J81))/(2*(1-Inputs!$B$25))),IF(B81="AD",Inputs!$B$8*F81/(2*J81),2*Inputs!$B$8*F81/J81))</f>
        <v>0.00416319359719033</v>
      </c>
      <c r="O81" s="25" t="n">
        <f aca="false">MIN(Inputs!$B$26,M81*L81)</f>
        <v>0.00235045371592382</v>
      </c>
      <c r="P81" s="25" t="n">
        <f aca="false">MIN(Inputs!$B$26,O81*Inputs!$B$19)</f>
        <v>0.0235045371592382</v>
      </c>
      <c r="Q81" s="25" t="n">
        <f aca="false">MIN(O81,N81*Inputs!$B$21)</f>
        <v>0.000208159679859516</v>
      </c>
      <c r="R81" s="26"/>
      <c r="S81" s="26"/>
      <c r="T81" s="26"/>
      <c r="U81" s="20" t="str">
        <f aca="false">IF(COUNT(R81:T81)&gt;0,"Published spec (+calc where blank)","Calculated (this workbook)")</f>
        <v>Calculated (this workbook)</v>
      </c>
      <c r="V81" s="28" t="n">
        <f aca="false">IF(R81="",MAX(P81,W81),R81)</f>
        <v>0.0235045371592382</v>
      </c>
      <c r="W81" s="28" t="n">
        <f aca="false">IF(S81="",O81,S81)</f>
        <v>0.00235045371592382</v>
      </c>
      <c r="X81" s="28" t="n">
        <f aca="false">IF(T81="",Q81,T81)</f>
        <v>0.000208159679859516</v>
      </c>
      <c r="Y81" s="20" t="str">
        <f aca="false">IF(S81="","",IF(O81&lt;S81,"Calc STRICTER (lower)","Calc more lenient (higher)"))</f>
        <v/>
      </c>
      <c r="Z81" s="20" t="str">
        <f aca="false">IF(B81="XL","Hemizygous male AF (grpmax)","grpmax FAF95; check SAS, IndiGen, GenomeIndia")</f>
        <v>grpmax FAF95; check SAS, IndiGen, GenomeIndia</v>
      </c>
      <c r="AA81" s="20"/>
      <c r="AB81" s="20"/>
    </row>
    <row r="82" customFormat="false" ht="15" hidden="false" customHeight="false" outlineLevel="0" collapsed="false">
      <c r="A82" s="19" t="s">
        <v>215</v>
      </c>
      <c r="B82" s="20" t="s">
        <v>96</v>
      </c>
      <c r="C82" s="20" t="s">
        <v>127</v>
      </c>
      <c r="D82" s="21" t="n">
        <f aca="false">SUMIF(Indian_Gene_Shares!$B$5:$B$47,A82,Indian_Gene_Shares!$G$5:$G$47)</f>
        <v>0</v>
      </c>
      <c r="E82" s="9" t="n">
        <f aca="false">IFERROR(INDEX(ARIDE_Cohort!$C$6:$C$207,MATCH(A82,ARIDE_Cohort!$A$6:$A$207,0)),0)</f>
        <v>0</v>
      </c>
      <c r="F82" s="22" t="n">
        <f aca="false">MAX(Inputs!$B$24,IF(AND(Inputs!$B$29="ARIDE cohort",ARIDE_Cohort!$B$3&gt;=Inputs!$B$30),E82,D82))</f>
        <v>0.01</v>
      </c>
      <c r="G82" s="20" t="str">
        <f aca="false">IF(AND(Inputs!$B$29="ARIDE cohort",ARIDE_Cohort!$B$3&gt;=Inputs!$B$30),IF(E82&gt;Inputs!$B$24,"ARIDE cohort","Floor (ARIDE share below floor)"),IF(D82&gt;Inputs!$B$24,"Indian literature",IF(D82&gt;0,"Floor (Indian share below floor)","Floor (no Indian data)")))</f>
        <v>Floor (no Indian data)</v>
      </c>
      <c r="H82" s="23" t="n">
        <f aca="false">IF(B82="AR",Inputs!$B$14,IF(B82="AD",Inputs!$B$15,Inputs!$B$16))</f>
        <v>1</v>
      </c>
      <c r="I82" s="12"/>
      <c r="J82" s="24" t="n">
        <f aca="false">IF(I82="",H82,I82)</f>
        <v>1</v>
      </c>
      <c r="K82" s="12"/>
      <c r="L82" s="24" t="n">
        <f aca="false">IF(K82="",Inputs!$B$20,K82)</f>
        <v>0.5</v>
      </c>
      <c r="M82" s="25" t="n">
        <f aca="false">IF(B82="AR",SQRT(Inputs!$B$9*F82/J82),IF(B82="AD",Inputs!$B$9*F82/(2*J82),2*Inputs!$B$9*F82/J82))</f>
        <v>0.00470090743184764</v>
      </c>
      <c r="N82" s="25" t="n">
        <f aca="false">IF(B82="AR",IF(Inputs!$B$25=0,SQRT(Inputs!$B$8*F82/J82),(-Inputs!$B$25+SQRT(Inputs!$B$25^2+4*(1-Inputs!$B$25)*Inputs!$B$8*F82/J82))/(2*(1-Inputs!$B$25))),IF(B82="AD",Inputs!$B$8*F82/(2*J82),2*Inputs!$B$8*F82/J82))</f>
        <v>0.00416319359719033</v>
      </c>
      <c r="O82" s="25" t="n">
        <f aca="false">MIN(Inputs!$B$26,M82*L82)</f>
        <v>0.00235045371592382</v>
      </c>
      <c r="P82" s="25" t="n">
        <f aca="false">MIN(Inputs!$B$26,O82*Inputs!$B$19)</f>
        <v>0.0235045371592382</v>
      </c>
      <c r="Q82" s="25" t="n">
        <f aca="false">MIN(O82,N82*Inputs!$B$21)</f>
        <v>0.000208159679859516</v>
      </c>
      <c r="R82" s="26"/>
      <c r="S82" s="26"/>
      <c r="T82" s="26"/>
      <c r="U82" s="20" t="str">
        <f aca="false">IF(COUNT(R82:T82)&gt;0,"Published spec (+calc where blank)","Calculated (this workbook)")</f>
        <v>Calculated (this workbook)</v>
      </c>
      <c r="V82" s="28" t="n">
        <f aca="false">IF(R82="",MAX(P82,W82),R82)</f>
        <v>0.0235045371592382</v>
      </c>
      <c r="W82" s="28" t="n">
        <f aca="false">IF(S82="",O82,S82)</f>
        <v>0.00235045371592382</v>
      </c>
      <c r="X82" s="28" t="n">
        <f aca="false">IF(T82="",Q82,T82)</f>
        <v>0.000208159679859516</v>
      </c>
      <c r="Y82" s="20" t="str">
        <f aca="false">IF(S82="","",IF(O82&lt;S82,"Calc STRICTER (lower)","Calc more lenient (higher)"))</f>
        <v/>
      </c>
      <c r="Z82" s="20" t="str">
        <f aca="false">IF(B82="XL","Hemizygous male AF (grpmax)","grpmax FAF95; check SAS, IndiGen, GenomeIndia")</f>
        <v>grpmax FAF95; check SAS, IndiGen, GenomeIndia</v>
      </c>
      <c r="AA82" s="20"/>
      <c r="AB82" s="20"/>
    </row>
    <row r="83" customFormat="false" ht="15" hidden="false" customHeight="false" outlineLevel="0" collapsed="false">
      <c r="A83" s="19" t="s">
        <v>216</v>
      </c>
      <c r="B83" s="20" t="s">
        <v>96</v>
      </c>
      <c r="C83" s="20" t="s">
        <v>147</v>
      </c>
      <c r="D83" s="21" t="n">
        <f aca="false">SUMIF(Indian_Gene_Shares!$B$5:$B$47,A83,Indian_Gene_Shares!$G$5:$G$47)</f>
        <v>0</v>
      </c>
      <c r="E83" s="9" t="n">
        <f aca="false">IFERROR(INDEX(ARIDE_Cohort!$C$6:$C$207,MATCH(A83,ARIDE_Cohort!$A$6:$A$207,0)),0)</f>
        <v>0</v>
      </c>
      <c r="F83" s="22" t="n">
        <f aca="false">MAX(Inputs!$B$24,IF(AND(Inputs!$B$29="ARIDE cohort",ARIDE_Cohort!$B$3&gt;=Inputs!$B$30),E83,D83))</f>
        <v>0.01</v>
      </c>
      <c r="G83" s="20" t="str">
        <f aca="false">IF(AND(Inputs!$B$29="ARIDE cohort",ARIDE_Cohort!$B$3&gt;=Inputs!$B$30),IF(E83&gt;Inputs!$B$24,"ARIDE cohort","Floor (ARIDE share below floor)"),IF(D83&gt;Inputs!$B$24,"Indian literature",IF(D83&gt;0,"Floor (Indian share below floor)","Floor (no Indian data)")))</f>
        <v>Floor (no Indian data)</v>
      </c>
      <c r="H83" s="23" t="n">
        <f aca="false">IF(B83="AR",Inputs!$B$14,IF(B83="AD",Inputs!$B$15,Inputs!$B$16))</f>
        <v>1</v>
      </c>
      <c r="I83" s="12"/>
      <c r="J83" s="24" t="n">
        <f aca="false">IF(I83="",H83,I83)</f>
        <v>1</v>
      </c>
      <c r="K83" s="12"/>
      <c r="L83" s="24" t="n">
        <f aca="false">IF(K83="",Inputs!$B$20,K83)</f>
        <v>0.5</v>
      </c>
      <c r="M83" s="25" t="n">
        <f aca="false">IF(B83="AR",SQRT(Inputs!$B$9*F83/J83),IF(B83="AD",Inputs!$B$9*F83/(2*J83),2*Inputs!$B$9*F83/J83))</f>
        <v>0.00470090743184764</v>
      </c>
      <c r="N83" s="25" t="n">
        <f aca="false">IF(B83="AR",IF(Inputs!$B$25=0,SQRT(Inputs!$B$8*F83/J83),(-Inputs!$B$25+SQRT(Inputs!$B$25^2+4*(1-Inputs!$B$25)*Inputs!$B$8*F83/J83))/(2*(1-Inputs!$B$25))),IF(B83="AD",Inputs!$B$8*F83/(2*J83),2*Inputs!$B$8*F83/J83))</f>
        <v>0.00416319359719033</v>
      </c>
      <c r="O83" s="25" t="n">
        <f aca="false">MIN(Inputs!$B$26,M83*L83)</f>
        <v>0.00235045371592382</v>
      </c>
      <c r="P83" s="25" t="n">
        <f aca="false">MIN(Inputs!$B$26,O83*Inputs!$B$19)</f>
        <v>0.0235045371592382</v>
      </c>
      <c r="Q83" s="25" t="n">
        <f aca="false">MIN(O83,N83*Inputs!$B$21)</f>
        <v>0.000208159679859516</v>
      </c>
      <c r="R83" s="26"/>
      <c r="S83" s="26"/>
      <c r="T83" s="26"/>
      <c r="U83" s="20" t="str">
        <f aca="false">IF(COUNT(R83:T83)&gt;0,"Published spec (+calc where blank)","Calculated (this workbook)")</f>
        <v>Calculated (this workbook)</v>
      </c>
      <c r="V83" s="28" t="n">
        <f aca="false">IF(R83="",MAX(P83,W83),R83)</f>
        <v>0.0235045371592382</v>
      </c>
      <c r="W83" s="28" t="n">
        <f aca="false">IF(S83="",O83,S83)</f>
        <v>0.00235045371592382</v>
      </c>
      <c r="X83" s="28" t="n">
        <f aca="false">IF(T83="",Q83,T83)</f>
        <v>0.000208159679859516</v>
      </c>
      <c r="Y83" s="20" t="str">
        <f aca="false">IF(S83="","",IF(O83&lt;S83,"Calc STRICTER (lower)","Calc more lenient (higher)"))</f>
        <v/>
      </c>
      <c r="Z83" s="20" t="str">
        <f aca="false">IF(B83="XL","Hemizygous male AF (grpmax)","grpmax FAF95; check SAS, IndiGen, GenomeIndia")</f>
        <v>grpmax FAF95; check SAS, IndiGen, GenomeIndia</v>
      </c>
      <c r="AA83" s="20"/>
      <c r="AB83" s="20"/>
    </row>
    <row r="84" customFormat="false" ht="15" hidden="false" customHeight="false" outlineLevel="0" collapsed="false">
      <c r="A84" s="19" t="s">
        <v>217</v>
      </c>
      <c r="B84" s="20" t="s">
        <v>96</v>
      </c>
      <c r="C84" s="20" t="s">
        <v>218</v>
      </c>
      <c r="D84" s="21" t="n">
        <f aca="false">SUMIF(Indian_Gene_Shares!$B$5:$B$47,A84,Indian_Gene_Shares!$G$5:$G$47)</f>
        <v>0</v>
      </c>
      <c r="E84" s="9" t="n">
        <f aca="false">IFERROR(INDEX(ARIDE_Cohort!$C$6:$C$207,MATCH(A84,ARIDE_Cohort!$A$6:$A$207,0)),0)</f>
        <v>0</v>
      </c>
      <c r="F84" s="22" t="n">
        <f aca="false">MAX(Inputs!$B$24,IF(AND(Inputs!$B$29="ARIDE cohort",ARIDE_Cohort!$B$3&gt;=Inputs!$B$30),E84,D84))</f>
        <v>0.01</v>
      </c>
      <c r="G84" s="20" t="str">
        <f aca="false">IF(AND(Inputs!$B$29="ARIDE cohort",ARIDE_Cohort!$B$3&gt;=Inputs!$B$30),IF(E84&gt;Inputs!$B$24,"ARIDE cohort","Floor (ARIDE share below floor)"),IF(D84&gt;Inputs!$B$24,"Indian literature",IF(D84&gt;0,"Floor (Indian share below floor)","Floor (no Indian data)")))</f>
        <v>Floor (no Indian data)</v>
      </c>
      <c r="H84" s="23" t="n">
        <f aca="false">IF(B84="AR",Inputs!$B$14,IF(B84="AD",Inputs!$B$15,Inputs!$B$16))</f>
        <v>1</v>
      </c>
      <c r="I84" s="12"/>
      <c r="J84" s="24" t="n">
        <f aca="false">IF(I84="",H84,I84)</f>
        <v>1</v>
      </c>
      <c r="K84" s="12"/>
      <c r="L84" s="24" t="n">
        <f aca="false">IF(K84="",Inputs!$B$20,K84)</f>
        <v>0.5</v>
      </c>
      <c r="M84" s="25" t="n">
        <f aca="false">IF(B84="AR",SQRT(Inputs!$B$9*F84/J84),IF(B84="AD",Inputs!$B$9*F84/(2*J84),2*Inputs!$B$9*F84/J84))</f>
        <v>0.00470090743184764</v>
      </c>
      <c r="N84" s="25" t="n">
        <f aca="false">IF(B84="AR",IF(Inputs!$B$25=0,SQRT(Inputs!$B$8*F84/J84),(-Inputs!$B$25+SQRT(Inputs!$B$25^2+4*(1-Inputs!$B$25)*Inputs!$B$8*F84/J84))/(2*(1-Inputs!$B$25))),IF(B84="AD",Inputs!$B$8*F84/(2*J84),2*Inputs!$B$8*F84/J84))</f>
        <v>0.00416319359719033</v>
      </c>
      <c r="O84" s="25" t="n">
        <f aca="false">MIN(Inputs!$B$26,M84*L84)</f>
        <v>0.00235045371592382</v>
      </c>
      <c r="P84" s="25" t="n">
        <f aca="false">MIN(Inputs!$B$26,O84*Inputs!$B$19)</f>
        <v>0.0235045371592382</v>
      </c>
      <c r="Q84" s="25" t="n">
        <f aca="false">MIN(O84,N84*Inputs!$B$21)</f>
        <v>0.000208159679859516</v>
      </c>
      <c r="R84" s="26"/>
      <c r="S84" s="26"/>
      <c r="T84" s="26"/>
      <c r="U84" s="20" t="str">
        <f aca="false">IF(COUNT(R84:T84)&gt;0,"Published spec (+calc where blank)","Calculated (this workbook)")</f>
        <v>Calculated (this workbook)</v>
      </c>
      <c r="V84" s="28" t="n">
        <f aca="false">IF(R84="",MAX(P84,W84),R84)</f>
        <v>0.0235045371592382</v>
      </c>
      <c r="W84" s="28" t="n">
        <f aca="false">IF(S84="",O84,S84)</f>
        <v>0.00235045371592382</v>
      </c>
      <c r="X84" s="28" t="n">
        <f aca="false">IF(T84="",Q84,T84)</f>
        <v>0.000208159679859516</v>
      </c>
      <c r="Y84" s="20" t="str">
        <f aca="false">IF(S84="","",IF(O84&lt;S84,"Calc STRICTER (lower)","Calc more lenient (higher)"))</f>
        <v/>
      </c>
      <c r="Z84" s="20" t="str">
        <f aca="false">IF(B84="XL","Hemizygous male AF (grpmax)","grpmax FAF95; check SAS, IndiGen, GenomeIndia")</f>
        <v>grpmax FAF95; check SAS, IndiGen, GenomeIndia</v>
      </c>
      <c r="AA84" s="20"/>
      <c r="AB84" s="20"/>
    </row>
    <row r="85" customFormat="false" ht="15" hidden="false" customHeight="false" outlineLevel="0" collapsed="false">
      <c r="A85" s="19" t="s">
        <v>219</v>
      </c>
      <c r="B85" s="20" t="s">
        <v>96</v>
      </c>
      <c r="C85" s="20" t="s">
        <v>220</v>
      </c>
      <c r="D85" s="21" t="n">
        <f aca="false">SUMIF(Indian_Gene_Shares!$B$5:$B$47,A85,Indian_Gene_Shares!$G$5:$G$47)</f>
        <v>0</v>
      </c>
      <c r="E85" s="9" t="n">
        <f aca="false">IFERROR(INDEX(ARIDE_Cohort!$C$6:$C$207,MATCH(A85,ARIDE_Cohort!$A$6:$A$207,0)),0)</f>
        <v>0</v>
      </c>
      <c r="F85" s="22" t="n">
        <f aca="false">MAX(Inputs!$B$24,IF(AND(Inputs!$B$29="ARIDE cohort",ARIDE_Cohort!$B$3&gt;=Inputs!$B$30),E85,D85))</f>
        <v>0.01</v>
      </c>
      <c r="G85" s="20" t="str">
        <f aca="false">IF(AND(Inputs!$B$29="ARIDE cohort",ARIDE_Cohort!$B$3&gt;=Inputs!$B$30),IF(E85&gt;Inputs!$B$24,"ARIDE cohort","Floor (ARIDE share below floor)"),IF(D85&gt;Inputs!$B$24,"Indian literature",IF(D85&gt;0,"Floor (Indian share below floor)","Floor (no Indian data)")))</f>
        <v>Floor (no Indian data)</v>
      </c>
      <c r="H85" s="23" t="n">
        <f aca="false">IF(B85="AR",Inputs!$B$14,IF(B85="AD",Inputs!$B$15,Inputs!$B$16))</f>
        <v>1</v>
      </c>
      <c r="I85" s="12"/>
      <c r="J85" s="24" t="n">
        <f aca="false">IF(I85="",H85,I85)</f>
        <v>1</v>
      </c>
      <c r="K85" s="12"/>
      <c r="L85" s="24" t="n">
        <f aca="false">IF(K85="",Inputs!$B$20,K85)</f>
        <v>0.5</v>
      </c>
      <c r="M85" s="25" t="n">
        <f aca="false">IF(B85="AR",SQRT(Inputs!$B$9*F85/J85),IF(B85="AD",Inputs!$B$9*F85/(2*J85),2*Inputs!$B$9*F85/J85))</f>
        <v>0.00470090743184764</v>
      </c>
      <c r="N85" s="25" t="n">
        <f aca="false">IF(B85="AR",IF(Inputs!$B$25=0,SQRT(Inputs!$B$8*F85/J85),(-Inputs!$B$25+SQRT(Inputs!$B$25^2+4*(1-Inputs!$B$25)*Inputs!$B$8*F85/J85))/(2*(1-Inputs!$B$25))),IF(B85="AD",Inputs!$B$8*F85/(2*J85),2*Inputs!$B$8*F85/J85))</f>
        <v>0.00416319359719033</v>
      </c>
      <c r="O85" s="25" t="n">
        <f aca="false">MIN(Inputs!$B$26,M85*L85)</f>
        <v>0.00235045371592382</v>
      </c>
      <c r="P85" s="25" t="n">
        <f aca="false">MIN(Inputs!$B$26,O85*Inputs!$B$19)</f>
        <v>0.0235045371592382</v>
      </c>
      <c r="Q85" s="25" t="n">
        <f aca="false">MIN(O85,N85*Inputs!$B$21)</f>
        <v>0.000208159679859516</v>
      </c>
      <c r="R85" s="26"/>
      <c r="S85" s="26"/>
      <c r="T85" s="26"/>
      <c r="U85" s="20" t="str">
        <f aca="false">IF(COUNT(R85:T85)&gt;0,"Published spec (+calc where blank)","Calculated (this workbook)")</f>
        <v>Calculated (this workbook)</v>
      </c>
      <c r="V85" s="28" t="n">
        <f aca="false">IF(R85="",MAX(P85,W85),R85)</f>
        <v>0.0235045371592382</v>
      </c>
      <c r="W85" s="28" t="n">
        <f aca="false">IF(S85="",O85,S85)</f>
        <v>0.00235045371592382</v>
      </c>
      <c r="X85" s="28" t="n">
        <f aca="false">IF(T85="",Q85,T85)</f>
        <v>0.000208159679859516</v>
      </c>
      <c r="Y85" s="20" t="str">
        <f aca="false">IF(S85="","",IF(O85&lt;S85,"Calc STRICTER (lower)","Calc more lenient (higher)"))</f>
        <v/>
      </c>
      <c r="Z85" s="20" t="str">
        <f aca="false">IF(B85="XL","Hemizygous male AF (grpmax)","grpmax FAF95; check SAS, IndiGen, GenomeIndia")</f>
        <v>grpmax FAF95; check SAS, IndiGen, GenomeIndia</v>
      </c>
      <c r="AA85" s="20"/>
      <c r="AB85" s="20"/>
    </row>
    <row r="86" customFormat="false" ht="15" hidden="false" customHeight="false" outlineLevel="0" collapsed="false">
      <c r="A86" s="19" t="s">
        <v>221</v>
      </c>
      <c r="B86" s="20" t="s">
        <v>96</v>
      </c>
      <c r="C86" s="20" t="s">
        <v>218</v>
      </c>
      <c r="D86" s="21" t="n">
        <f aca="false">SUMIF(Indian_Gene_Shares!$B$5:$B$47,A86,Indian_Gene_Shares!$G$5:$G$47)</f>
        <v>0</v>
      </c>
      <c r="E86" s="9" t="n">
        <f aca="false">IFERROR(INDEX(ARIDE_Cohort!$C$6:$C$207,MATCH(A86,ARIDE_Cohort!$A$6:$A$207,0)),0)</f>
        <v>0</v>
      </c>
      <c r="F86" s="22" t="n">
        <f aca="false">MAX(Inputs!$B$24,IF(AND(Inputs!$B$29="ARIDE cohort",ARIDE_Cohort!$B$3&gt;=Inputs!$B$30),E86,D86))</f>
        <v>0.01</v>
      </c>
      <c r="G86" s="20" t="str">
        <f aca="false">IF(AND(Inputs!$B$29="ARIDE cohort",ARIDE_Cohort!$B$3&gt;=Inputs!$B$30),IF(E86&gt;Inputs!$B$24,"ARIDE cohort","Floor (ARIDE share below floor)"),IF(D86&gt;Inputs!$B$24,"Indian literature",IF(D86&gt;0,"Floor (Indian share below floor)","Floor (no Indian data)")))</f>
        <v>Floor (no Indian data)</v>
      </c>
      <c r="H86" s="23" t="n">
        <f aca="false">IF(B86="AR",Inputs!$B$14,IF(B86="AD",Inputs!$B$15,Inputs!$B$16))</f>
        <v>1</v>
      </c>
      <c r="I86" s="12"/>
      <c r="J86" s="24" t="n">
        <f aca="false">IF(I86="",H86,I86)</f>
        <v>1</v>
      </c>
      <c r="K86" s="12"/>
      <c r="L86" s="24" t="n">
        <f aca="false">IF(K86="",Inputs!$B$20,K86)</f>
        <v>0.5</v>
      </c>
      <c r="M86" s="25" t="n">
        <f aca="false">IF(B86="AR",SQRT(Inputs!$B$9*F86/J86),IF(B86="AD",Inputs!$B$9*F86/(2*J86),2*Inputs!$B$9*F86/J86))</f>
        <v>0.00470090743184764</v>
      </c>
      <c r="N86" s="25" t="n">
        <f aca="false">IF(B86="AR",IF(Inputs!$B$25=0,SQRT(Inputs!$B$8*F86/J86),(-Inputs!$B$25+SQRT(Inputs!$B$25^2+4*(1-Inputs!$B$25)*Inputs!$B$8*F86/J86))/(2*(1-Inputs!$B$25))),IF(B86="AD",Inputs!$B$8*F86/(2*J86),2*Inputs!$B$8*F86/J86))</f>
        <v>0.00416319359719033</v>
      </c>
      <c r="O86" s="25" t="n">
        <f aca="false">MIN(Inputs!$B$26,M86*L86)</f>
        <v>0.00235045371592382</v>
      </c>
      <c r="P86" s="25" t="n">
        <f aca="false">MIN(Inputs!$B$26,O86*Inputs!$B$19)</f>
        <v>0.0235045371592382</v>
      </c>
      <c r="Q86" s="25" t="n">
        <f aca="false">MIN(O86,N86*Inputs!$B$21)</f>
        <v>0.000208159679859516</v>
      </c>
      <c r="R86" s="26"/>
      <c r="S86" s="26"/>
      <c r="T86" s="26"/>
      <c r="U86" s="20" t="str">
        <f aca="false">IF(COUNT(R86:T86)&gt;0,"Published spec (+calc where blank)","Calculated (this workbook)")</f>
        <v>Calculated (this workbook)</v>
      </c>
      <c r="V86" s="28" t="n">
        <f aca="false">IF(R86="",MAX(P86,W86),R86)</f>
        <v>0.0235045371592382</v>
      </c>
      <c r="W86" s="28" t="n">
        <f aca="false">IF(S86="",O86,S86)</f>
        <v>0.00235045371592382</v>
      </c>
      <c r="X86" s="28" t="n">
        <f aca="false">IF(T86="",Q86,T86)</f>
        <v>0.000208159679859516</v>
      </c>
      <c r="Y86" s="20" t="str">
        <f aca="false">IF(S86="","",IF(O86&lt;S86,"Calc STRICTER (lower)","Calc more lenient (higher)"))</f>
        <v/>
      </c>
      <c r="Z86" s="20" t="str">
        <f aca="false">IF(B86="XL","Hemizygous male AF (grpmax)","grpmax FAF95; check SAS, IndiGen, GenomeIndia")</f>
        <v>grpmax FAF95; check SAS, IndiGen, GenomeIndia</v>
      </c>
      <c r="AA86" s="20"/>
      <c r="AB86" s="20"/>
    </row>
    <row r="87" customFormat="false" ht="15" hidden="false" customHeight="false" outlineLevel="0" collapsed="false">
      <c r="A87" s="19" t="s">
        <v>222</v>
      </c>
      <c r="B87" s="20" t="s">
        <v>109</v>
      </c>
      <c r="C87" s="20" t="s">
        <v>223</v>
      </c>
      <c r="D87" s="21" t="n">
        <f aca="false">SUMIF(Indian_Gene_Shares!$B$5:$B$47,A87,Indian_Gene_Shares!$G$5:$G$47)</f>
        <v>0</v>
      </c>
      <c r="E87" s="9" t="n">
        <f aca="false">IFERROR(INDEX(ARIDE_Cohort!$C$6:$C$207,MATCH(A87,ARIDE_Cohort!$A$6:$A$207,0)),0)</f>
        <v>0</v>
      </c>
      <c r="F87" s="22" t="n">
        <f aca="false">MAX(Inputs!$B$24,IF(AND(Inputs!$B$29="ARIDE cohort",ARIDE_Cohort!$B$3&gt;=Inputs!$B$30),E87,D87))</f>
        <v>0.01</v>
      </c>
      <c r="G87" s="20" t="str">
        <f aca="false">IF(AND(Inputs!$B$29="ARIDE cohort",ARIDE_Cohort!$B$3&gt;=Inputs!$B$30),IF(E87&gt;Inputs!$B$24,"ARIDE cohort","Floor (ARIDE share below floor)"),IF(D87&gt;Inputs!$B$24,"Indian literature",IF(D87&gt;0,"Floor (Indian share below floor)","Floor (no Indian data)")))</f>
        <v>Floor (no Indian data)</v>
      </c>
      <c r="H87" s="23" t="n">
        <f aca="false">IF(B87="AR",Inputs!$B$14,IF(B87="AD",Inputs!$B$15,Inputs!$B$16))</f>
        <v>0.5</v>
      </c>
      <c r="I87" s="12"/>
      <c r="J87" s="24" t="n">
        <f aca="false">IF(I87="",H87,I87)</f>
        <v>0.5</v>
      </c>
      <c r="K87" s="12"/>
      <c r="L87" s="24" t="n">
        <f aca="false">IF(K87="",Inputs!$B$20,K87)</f>
        <v>0.5</v>
      </c>
      <c r="M87" s="25" t="n">
        <f aca="false">IF(B87="AR",SQRT(Inputs!$B$9*F87/J87),IF(B87="AD",Inputs!$B$9*F87/(2*J87),2*Inputs!$B$9*F87/J87))</f>
        <v>2.20985306828003E-005</v>
      </c>
      <c r="N87" s="25" t="n">
        <f aca="false">IF(B87="AR",IF(Inputs!$B$25=0,SQRT(Inputs!$B$8*F87/J87),(-Inputs!$B$25+SQRT(Inputs!$B$25^2+4*(1-Inputs!$B$25)*Inputs!$B$8*F87/J87))/(2*(1-Inputs!$B$25))),IF(B87="AD",Inputs!$B$8*F87/(2*J87),2*Inputs!$B$8*F87/J87))</f>
        <v>1.73321809276865E-005</v>
      </c>
      <c r="O87" s="25" t="n">
        <f aca="false">MIN(Inputs!$B$26,M87*L87)</f>
        <v>1.10492653414002E-005</v>
      </c>
      <c r="P87" s="25" t="n">
        <f aca="false">MIN(Inputs!$B$26,O87*Inputs!$B$19)</f>
        <v>0.000110492653414002</v>
      </c>
      <c r="Q87" s="25" t="n">
        <f aca="false">MIN(O87,N87*Inputs!$B$21)</f>
        <v>8.66609046384327E-007</v>
      </c>
      <c r="R87" s="26"/>
      <c r="S87" s="26"/>
      <c r="T87" s="26"/>
      <c r="U87" s="20" t="str">
        <f aca="false">IF(COUNT(R87:T87)&gt;0,"Published spec (+calc where blank)","Calculated (this workbook)")</f>
        <v>Calculated (this workbook)</v>
      </c>
      <c r="V87" s="28" t="n">
        <f aca="false">IF(R87="",MAX(P87,W87),R87)</f>
        <v>0.000110492653414002</v>
      </c>
      <c r="W87" s="28" t="n">
        <f aca="false">IF(S87="",O87,S87)</f>
        <v>1.10492653414002E-005</v>
      </c>
      <c r="X87" s="28" t="n">
        <f aca="false">IF(T87="",Q87,T87)</f>
        <v>8.66609046384327E-007</v>
      </c>
      <c r="Y87" s="20" t="str">
        <f aca="false">IF(S87="","",IF(O87&lt;S87,"Calc STRICTER (lower)","Calc more lenient (higher)"))</f>
        <v/>
      </c>
      <c r="Z87" s="20" t="str">
        <f aca="false">IF(B87="XL","Hemizygous male AF (grpmax)","grpmax FAF95; check SAS, IndiGen, GenomeIndia")</f>
        <v>grpmax FAF95; check SAS, IndiGen, GenomeIndia</v>
      </c>
      <c r="AA87" s="20"/>
      <c r="AB87" s="20"/>
    </row>
    <row r="88" customFormat="false" ht="15" hidden="false" customHeight="false" outlineLevel="0" collapsed="false">
      <c r="A88" s="19" t="s">
        <v>224</v>
      </c>
      <c r="B88" s="20" t="s">
        <v>109</v>
      </c>
      <c r="C88" s="20" t="s">
        <v>225</v>
      </c>
      <c r="D88" s="21" t="n">
        <f aca="false">SUMIF(Indian_Gene_Shares!$B$5:$B$47,A88,Indian_Gene_Shares!$G$5:$G$47)</f>
        <v>0</v>
      </c>
      <c r="E88" s="9" t="n">
        <f aca="false">IFERROR(INDEX(ARIDE_Cohort!$C$6:$C$207,MATCH(A88,ARIDE_Cohort!$A$6:$A$207,0)),0)</f>
        <v>0</v>
      </c>
      <c r="F88" s="22" t="n">
        <f aca="false">MAX(Inputs!$B$24,IF(AND(Inputs!$B$29="ARIDE cohort",ARIDE_Cohort!$B$3&gt;=Inputs!$B$30),E88,D88))</f>
        <v>0.01</v>
      </c>
      <c r="G88" s="20" t="str">
        <f aca="false">IF(AND(Inputs!$B$29="ARIDE cohort",ARIDE_Cohort!$B$3&gt;=Inputs!$B$30),IF(E88&gt;Inputs!$B$24,"ARIDE cohort","Floor (ARIDE share below floor)"),IF(D88&gt;Inputs!$B$24,"Indian literature",IF(D88&gt;0,"Floor (Indian share below floor)","Floor (no Indian data)")))</f>
        <v>Floor (no Indian data)</v>
      </c>
      <c r="H88" s="23" t="n">
        <f aca="false">IF(B88="AR",Inputs!$B$14,IF(B88="AD",Inputs!$B$15,Inputs!$B$16))</f>
        <v>0.5</v>
      </c>
      <c r="I88" s="12"/>
      <c r="J88" s="24" t="n">
        <f aca="false">IF(I88="",H88,I88)</f>
        <v>0.5</v>
      </c>
      <c r="K88" s="12"/>
      <c r="L88" s="24" t="n">
        <f aca="false">IF(K88="",Inputs!$B$20,K88)</f>
        <v>0.5</v>
      </c>
      <c r="M88" s="25" t="n">
        <f aca="false">IF(B88="AR",SQRT(Inputs!$B$9*F88/J88),IF(B88="AD",Inputs!$B$9*F88/(2*J88),2*Inputs!$B$9*F88/J88))</f>
        <v>2.20985306828003E-005</v>
      </c>
      <c r="N88" s="25" t="n">
        <f aca="false">IF(B88="AR",IF(Inputs!$B$25=0,SQRT(Inputs!$B$8*F88/J88),(-Inputs!$B$25+SQRT(Inputs!$B$25^2+4*(1-Inputs!$B$25)*Inputs!$B$8*F88/J88))/(2*(1-Inputs!$B$25))),IF(B88="AD",Inputs!$B$8*F88/(2*J88),2*Inputs!$B$8*F88/J88))</f>
        <v>1.73321809276865E-005</v>
      </c>
      <c r="O88" s="25" t="n">
        <f aca="false">MIN(Inputs!$B$26,M88*L88)</f>
        <v>1.10492653414002E-005</v>
      </c>
      <c r="P88" s="25" t="n">
        <f aca="false">MIN(Inputs!$B$26,O88*Inputs!$B$19)</f>
        <v>0.000110492653414002</v>
      </c>
      <c r="Q88" s="25" t="n">
        <f aca="false">MIN(O88,N88*Inputs!$B$21)</f>
        <v>8.66609046384327E-007</v>
      </c>
      <c r="R88" s="26"/>
      <c r="S88" s="26"/>
      <c r="T88" s="26"/>
      <c r="U88" s="20" t="str">
        <f aca="false">IF(COUNT(R88:T88)&gt;0,"Published spec (+calc where blank)","Calculated (this workbook)")</f>
        <v>Calculated (this workbook)</v>
      </c>
      <c r="V88" s="28" t="n">
        <f aca="false">IF(R88="",MAX(P88,W88),R88)</f>
        <v>0.000110492653414002</v>
      </c>
      <c r="W88" s="28" t="n">
        <f aca="false">IF(S88="",O88,S88)</f>
        <v>1.10492653414002E-005</v>
      </c>
      <c r="X88" s="28" t="n">
        <f aca="false">IF(T88="",Q88,T88)</f>
        <v>8.66609046384327E-007</v>
      </c>
      <c r="Y88" s="20" t="str">
        <f aca="false">IF(S88="","",IF(O88&lt;S88,"Calc STRICTER (lower)","Calc more lenient (higher)"))</f>
        <v/>
      </c>
      <c r="Z88" s="20" t="str">
        <f aca="false">IF(B88="XL","Hemizygous male AF (grpmax)","grpmax FAF95; check SAS, IndiGen, GenomeIndia")</f>
        <v>grpmax FAF95; check SAS, IndiGen, GenomeIndia</v>
      </c>
      <c r="AA88" s="20"/>
      <c r="AB88" s="20"/>
    </row>
    <row r="89" customFormat="false" ht="15" hidden="false" customHeight="false" outlineLevel="0" collapsed="false">
      <c r="A89" s="19" t="s">
        <v>226</v>
      </c>
      <c r="B89" s="20" t="s">
        <v>96</v>
      </c>
      <c r="C89" s="20" t="s">
        <v>115</v>
      </c>
      <c r="D89" s="21" t="n">
        <f aca="false">SUMIF(Indian_Gene_Shares!$B$5:$B$47,A89,Indian_Gene_Shares!$G$5:$G$47)</f>
        <v>0.00120724734042553</v>
      </c>
      <c r="E89" s="9" t="n">
        <f aca="false">IFERROR(INDEX(ARIDE_Cohort!$C$6:$C$207,MATCH(A89,ARIDE_Cohort!$A$6:$A$207,0)),0)</f>
        <v>0</v>
      </c>
      <c r="F89" s="22" t="n">
        <f aca="false">MAX(Inputs!$B$24,IF(AND(Inputs!$B$29="ARIDE cohort",ARIDE_Cohort!$B$3&gt;=Inputs!$B$30),E89,D89))</f>
        <v>0.01</v>
      </c>
      <c r="G89" s="20" t="str">
        <f aca="false">IF(AND(Inputs!$B$29="ARIDE cohort",ARIDE_Cohort!$B$3&gt;=Inputs!$B$30),IF(E89&gt;Inputs!$B$24,"ARIDE cohort","Floor (ARIDE share below floor)"),IF(D89&gt;Inputs!$B$24,"Indian literature",IF(D89&gt;0,"Floor (Indian share below floor)","Floor (no Indian data)")))</f>
        <v>Floor (Indian share below floor)</v>
      </c>
      <c r="H89" s="23" t="n">
        <f aca="false">IF(B89="AR",Inputs!$B$14,IF(B89="AD",Inputs!$B$15,Inputs!$B$16))</f>
        <v>1</v>
      </c>
      <c r="I89" s="12"/>
      <c r="J89" s="24" t="n">
        <f aca="false">IF(I89="",H89,I89)</f>
        <v>1</v>
      </c>
      <c r="K89" s="12"/>
      <c r="L89" s="24" t="n">
        <f aca="false">IF(K89="",Inputs!$B$20,K89)</f>
        <v>0.5</v>
      </c>
      <c r="M89" s="25" t="n">
        <f aca="false">IF(B89="AR",SQRT(Inputs!$B$9*F89/J89),IF(B89="AD",Inputs!$B$9*F89/(2*J89),2*Inputs!$B$9*F89/J89))</f>
        <v>0.00470090743184764</v>
      </c>
      <c r="N89" s="25" t="n">
        <f aca="false">IF(B89="AR",IF(Inputs!$B$25=0,SQRT(Inputs!$B$8*F89/J89),(-Inputs!$B$25+SQRT(Inputs!$B$25^2+4*(1-Inputs!$B$25)*Inputs!$B$8*F89/J89))/(2*(1-Inputs!$B$25))),IF(B89="AD",Inputs!$B$8*F89/(2*J89),2*Inputs!$B$8*F89/J89))</f>
        <v>0.00416319359719033</v>
      </c>
      <c r="O89" s="25" t="n">
        <f aca="false">MIN(Inputs!$B$26,M89*L89)</f>
        <v>0.00235045371592382</v>
      </c>
      <c r="P89" s="25" t="n">
        <f aca="false">MIN(Inputs!$B$26,O89*Inputs!$B$19)</f>
        <v>0.0235045371592382</v>
      </c>
      <c r="Q89" s="25" t="n">
        <f aca="false">MIN(O89,N89*Inputs!$B$21)</f>
        <v>0.000208159679859516</v>
      </c>
      <c r="R89" s="26"/>
      <c r="S89" s="26"/>
      <c r="T89" s="26"/>
      <c r="U89" s="20" t="str">
        <f aca="false">IF(COUNT(R89:T89)&gt;0,"Published spec (+calc where blank)","Calculated (this workbook)")</f>
        <v>Calculated (this workbook)</v>
      </c>
      <c r="V89" s="28" t="n">
        <f aca="false">IF(R89="",MAX(P89,W89),R89)</f>
        <v>0.0235045371592382</v>
      </c>
      <c r="W89" s="28" t="n">
        <f aca="false">IF(S89="",O89,S89)</f>
        <v>0.00235045371592382</v>
      </c>
      <c r="X89" s="28" t="n">
        <f aca="false">IF(T89="",Q89,T89)</f>
        <v>0.000208159679859516</v>
      </c>
      <c r="Y89" s="20" t="str">
        <f aca="false">IF(S89="","",IF(O89&lt;S89,"Calc STRICTER (lower)","Calc more lenient (higher)"))</f>
        <v/>
      </c>
      <c r="Z89" s="20" t="str">
        <f aca="false">IF(B89="XL","Hemizygous male AF (grpmax)","grpmax FAF95; check SAS, IndiGen, GenomeIndia")</f>
        <v>grpmax FAF95; check SAS, IndiGen, GenomeIndia</v>
      </c>
      <c r="AA89" s="20"/>
      <c r="AB89" s="20"/>
    </row>
    <row r="90" customFormat="false" ht="15" hidden="false" customHeight="false" outlineLevel="0" collapsed="false">
      <c r="A90" s="19" t="s">
        <v>226</v>
      </c>
      <c r="B90" s="20" t="s">
        <v>109</v>
      </c>
      <c r="C90" s="20" t="s">
        <v>103</v>
      </c>
      <c r="D90" s="21" t="n">
        <f aca="false">SUMIF(Indian_Gene_Shares!$B$5:$B$47,A90,Indian_Gene_Shares!$G$5:$G$47)</f>
        <v>0.00120724734042553</v>
      </c>
      <c r="E90" s="9" t="n">
        <f aca="false">IFERROR(INDEX(ARIDE_Cohort!$C$6:$C$207,MATCH(A90,ARIDE_Cohort!$A$6:$A$207,0)),0)</f>
        <v>0</v>
      </c>
      <c r="F90" s="22" t="n">
        <f aca="false">MAX(Inputs!$B$24,IF(AND(Inputs!$B$29="ARIDE cohort",ARIDE_Cohort!$B$3&gt;=Inputs!$B$30),E90,D90))</f>
        <v>0.01</v>
      </c>
      <c r="G90" s="20" t="str">
        <f aca="false">IF(AND(Inputs!$B$29="ARIDE cohort",ARIDE_Cohort!$B$3&gt;=Inputs!$B$30),IF(E90&gt;Inputs!$B$24,"ARIDE cohort","Floor (ARIDE share below floor)"),IF(D90&gt;Inputs!$B$24,"Indian literature",IF(D90&gt;0,"Floor (Indian share below floor)","Floor (no Indian data)")))</f>
        <v>Floor (Indian share below floor)</v>
      </c>
      <c r="H90" s="23" t="n">
        <f aca="false">IF(B90="AR",Inputs!$B$14,IF(B90="AD",Inputs!$B$15,Inputs!$B$16))</f>
        <v>0.5</v>
      </c>
      <c r="I90" s="12"/>
      <c r="J90" s="24" t="n">
        <f aca="false">IF(I90="",H90,I90)</f>
        <v>0.5</v>
      </c>
      <c r="K90" s="12"/>
      <c r="L90" s="24" t="n">
        <f aca="false">IF(K90="",Inputs!$B$20,K90)</f>
        <v>0.5</v>
      </c>
      <c r="M90" s="25" t="n">
        <f aca="false">IF(B90="AR",SQRT(Inputs!$B$9*F90/J90),IF(B90="AD",Inputs!$B$9*F90/(2*J90),2*Inputs!$B$9*F90/J90))</f>
        <v>2.20985306828003E-005</v>
      </c>
      <c r="N90" s="25" t="n">
        <f aca="false">IF(B90="AR",IF(Inputs!$B$25=0,SQRT(Inputs!$B$8*F90/J90),(-Inputs!$B$25+SQRT(Inputs!$B$25^2+4*(1-Inputs!$B$25)*Inputs!$B$8*F90/J90))/(2*(1-Inputs!$B$25))),IF(B90="AD",Inputs!$B$8*F90/(2*J90),2*Inputs!$B$8*F90/J90))</f>
        <v>1.73321809276865E-005</v>
      </c>
      <c r="O90" s="25" t="n">
        <f aca="false">MIN(Inputs!$B$26,M90*L90)</f>
        <v>1.10492653414002E-005</v>
      </c>
      <c r="P90" s="25" t="n">
        <f aca="false">MIN(Inputs!$B$26,O90*Inputs!$B$19)</f>
        <v>0.000110492653414002</v>
      </c>
      <c r="Q90" s="25" t="n">
        <f aca="false">MIN(O90,N90*Inputs!$B$21)</f>
        <v>8.66609046384327E-007</v>
      </c>
      <c r="R90" s="26"/>
      <c r="S90" s="26"/>
      <c r="T90" s="26"/>
      <c r="U90" s="20" t="str">
        <f aca="false">IF(COUNT(R90:T90)&gt;0,"Published spec (+calc where blank)","Calculated (this workbook)")</f>
        <v>Calculated (this workbook)</v>
      </c>
      <c r="V90" s="28" t="n">
        <f aca="false">IF(R90="",MAX(P90,W90),R90)</f>
        <v>0.000110492653414002</v>
      </c>
      <c r="W90" s="28" t="n">
        <f aca="false">IF(S90="",O90,S90)</f>
        <v>1.10492653414002E-005</v>
      </c>
      <c r="X90" s="28" t="n">
        <f aca="false">IF(T90="",Q90,T90)</f>
        <v>8.66609046384327E-007</v>
      </c>
      <c r="Y90" s="20" t="str">
        <f aca="false">IF(S90="","",IF(O90&lt;S90,"Calc STRICTER (lower)","Calc more lenient (higher)"))</f>
        <v/>
      </c>
      <c r="Z90" s="20" t="str">
        <f aca="false">IF(B90="XL","Hemizygous male AF (grpmax)","grpmax FAF95; check SAS, IndiGen, GenomeIndia")</f>
        <v>grpmax FAF95; check SAS, IndiGen, GenomeIndia</v>
      </c>
      <c r="AA90" s="20"/>
      <c r="AB90" s="20"/>
    </row>
    <row r="91" customFormat="false" ht="15" hidden="false" customHeight="false" outlineLevel="0" collapsed="false">
      <c r="A91" s="19" t="s">
        <v>227</v>
      </c>
      <c r="B91" s="20" t="s">
        <v>96</v>
      </c>
      <c r="C91" s="20" t="s">
        <v>105</v>
      </c>
      <c r="D91" s="21" t="n">
        <f aca="false">SUMIF(Indian_Gene_Shares!$B$5:$B$47,A91,Indian_Gene_Shares!$G$5:$G$47)</f>
        <v>0</v>
      </c>
      <c r="E91" s="9" t="n">
        <f aca="false">IFERROR(INDEX(ARIDE_Cohort!$C$6:$C$207,MATCH(A91,ARIDE_Cohort!$A$6:$A$207,0)),0)</f>
        <v>0</v>
      </c>
      <c r="F91" s="22" t="n">
        <f aca="false">MAX(Inputs!$B$24,IF(AND(Inputs!$B$29="ARIDE cohort",ARIDE_Cohort!$B$3&gt;=Inputs!$B$30),E91,D91))</f>
        <v>0.01</v>
      </c>
      <c r="G91" s="20" t="str">
        <f aca="false">IF(AND(Inputs!$B$29="ARIDE cohort",ARIDE_Cohort!$B$3&gt;=Inputs!$B$30),IF(E91&gt;Inputs!$B$24,"ARIDE cohort","Floor (ARIDE share below floor)"),IF(D91&gt;Inputs!$B$24,"Indian literature",IF(D91&gt;0,"Floor (Indian share below floor)","Floor (no Indian data)")))</f>
        <v>Floor (no Indian data)</v>
      </c>
      <c r="H91" s="23" t="n">
        <f aca="false">IF(B91="AR",Inputs!$B$14,IF(B91="AD",Inputs!$B$15,Inputs!$B$16))</f>
        <v>1</v>
      </c>
      <c r="I91" s="12"/>
      <c r="J91" s="24" t="n">
        <f aca="false">IF(I91="",H91,I91)</f>
        <v>1</v>
      </c>
      <c r="K91" s="12"/>
      <c r="L91" s="24" t="n">
        <f aca="false">IF(K91="",Inputs!$B$20,K91)</f>
        <v>0.5</v>
      </c>
      <c r="M91" s="25" t="n">
        <f aca="false">IF(B91="AR",SQRT(Inputs!$B$9*F91/J91),IF(B91="AD",Inputs!$B$9*F91/(2*J91),2*Inputs!$B$9*F91/J91))</f>
        <v>0.00470090743184764</v>
      </c>
      <c r="N91" s="25" t="n">
        <f aca="false">IF(B91="AR",IF(Inputs!$B$25=0,SQRT(Inputs!$B$8*F91/J91),(-Inputs!$B$25+SQRT(Inputs!$B$25^2+4*(1-Inputs!$B$25)*Inputs!$B$8*F91/J91))/(2*(1-Inputs!$B$25))),IF(B91="AD",Inputs!$B$8*F91/(2*J91),2*Inputs!$B$8*F91/J91))</f>
        <v>0.00416319359719033</v>
      </c>
      <c r="O91" s="25" t="n">
        <f aca="false">MIN(Inputs!$B$26,M91*L91)</f>
        <v>0.00235045371592382</v>
      </c>
      <c r="P91" s="25" t="n">
        <f aca="false">MIN(Inputs!$B$26,O91*Inputs!$B$19)</f>
        <v>0.0235045371592382</v>
      </c>
      <c r="Q91" s="25" t="n">
        <f aca="false">MIN(O91,N91*Inputs!$B$21)</f>
        <v>0.000208159679859516</v>
      </c>
      <c r="R91" s="26"/>
      <c r="S91" s="26"/>
      <c r="T91" s="26"/>
      <c r="U91" s="20" t="str">
        <f aca="false">IF(COUNT(R91:T91)&gt;0,"Published spec (+calc where blank)","Calculated (this workbook)")</f>
        <v>Calculated (this workbook)</v>
      </c>
      <c r="V91" s="28" t="n">
        <f aca="false">IF(R91="",MAX(P91,W91),R91)</f>
        <v>0.0235045371592382</v>
      </c>
      <c r="W91" s="28" t="n">
        <f aca="false">IF(S91="",O91,S91)</f>
        <v>0.00235045371592382</v>
      </c>
      <c r="X91" s="28" t="n">
        <f aca="false">IF(T91="",Q91,T91)</f>
        <v>0.000208159679859516</v>
      </c>
      <c r="Y91" s="20" t="str">
        <f aca="false">IF(S91="","",IF(O91&lt;S91,"Calc STRICTER (lower)","Calc more lenient (higher)"))</f>
        <v/>
      </c>
      <c r="Z91" s="20" t="str">
        <f aca="false">IF(B91="XL","Hemizygous male AF (grpmax)","grpmax FAF95; check SAS, IndiGen, GenomeIndia")</f>
        <v>grpmax FAF95; check SAS, IndiGen, GenomeIndia</v>
      </c>
      <c r="AA91" s="20"/>
      <c r="AB91" s="20"/>
    </row>
    <row r="92" customFormat="false" ht="15" hidden="false" customHeight="false" outlineLevel="0" collapsed="false">
      <c r="A92" s="19" t="s">
        <v>228</v>
      </c>
      <c r="B92" s="20" t="s">
        <v>109</v>
      </c>
      <c r="C92" s="20" t="s">
        <v>105</v>
      </c>
      <c r="D92" s="21" t="n">
        <f aca="false">SUMIF(Indian_Gene_Shares!$B$5:$B$47,A92,Indian_Gene_Shares!$G$5:$G$47)</f>
        <v>0</v>
      </c>
      <c r="E92" s="9" t="n">
        <f aca="false">IFERROR(INDEX(ARIDE_Cohort!$C$6:$C$207,MATCH(A92,ARIDE_Cohort!$A$6:$A$207,0)),0)</f>
        <v>0</v>
      </c>
      <c r="F92" s="22" t="n">
        <f aca="false">MAX(Inputs!$B$24,IF(AND(Inputs!$B$29="ARIDE cohort",ARIDE_Cohort!$B$3&gt;=Inputs!$B$30),E92,D92))</f>
        <v>0.01</v>
      </c>
      <c r="G92" s="20" t="str">
        <f aca="false">IF(AND(Inputs!$B$29="ARIDE cohort",ARIDE_Cohort!$B$3&gt;=Inputs!$B$30),IF(E92&gt;Inputs!$B$24,"ARIDE cohort","Floor (ARIDE share below floor)"),IF(D92&gt;Inputs!$B$24,"Indian literature",IF(D92&gt;0,"Floor (Indian share below floor)","Floor (no Indian data)")))</f>
        <v>Floor (no Indian data)</v>
      </c>
      <c r="H92" s="23" t="n">
        <f aca="false">IF(B92="AR",Inputs!$B$14,IF(B92="AD",Inputs!$B$15,Inputs!$B$16))</f>
        <v>0.5</v>
      </c>
      <c r="I92" s="12"/>
      <c r="J92" s="24" t="n">
        <f aca="false">IF(I92="",H92,I92)</f>
        <v>0.5</v>
      </c>
      <c r="K92" s="12"/>
      <c r="L92" s="24" t="n">
        <f aca="false">IF(K92="",Inputs!$B$20,K92)</f>
        <v>0.5</v>
      </c>
      <c r="M92" s="25" t="n">
        <f aca="false">IF(B92="AR",SQRT(Inputs!$B$9*F92/J92),IF(B92="AD",Inputs!$B$9*F92/(2*J92),2*Inputs!$B$9*F92/J92))</f>
        <v>2.20985306828003E-005</v>
      </c>
      <c r="N92" s="25" t="n">
        <f aca="false">IF(B92="AR",IF(Inputs!$B$25=0,SQRT(Inputs!$B$8*F92/J92),(-Inputs!$B$25+SQRT(Inputs!$B$25^2+4*(1-Inputs!$B$25)*Inputs!$B$8*F92/J92))/(2*(1-Inputs!$B$25))),IF(B92="AD",Inputs!$B$8*F92/(2*J92),2*Inputs!$B$8*F92/J92))</f>
        <v>1.73321809276865E-005</v>
      </c>
      <c r="O92" s="25" t="n">
        <f aca="false">MIN(Inputs!$B$26,M92*L92)</f>
        <v>1.10492653414002E-005</v>
      </c>
      <c r="P92" s="25" t="n">
        <f aca="false">MIN(Inputs!$B$26,O92*Inputs!$B$19)</f>
        <v>0.000110492653414002</v>
      </c>
      <c r="Q92" s="25" t="n">
        <f aca="false">MIN(O92,N92*Inputs!$B$21)</f>
        <v>8.66609046384327E-007</v>
      </c>
      <c r="R92" s="26"/>
      <c r="S92" s="26"/>
      <c r="T92" s="26"/>
      <c r="U92" s="20" t="str">
        <f aca="false">IF(COUNT(R92:T92)&gt;0,"Published spec (+calc where blank)","Calculated (this workbook)")</f>
        <v>Calculated (this workbook)</v>
      </c>
      <c r="V92" s="28" t="n">
        <f aca="false">IF(R92="",MAX(P92,W92),R92)</f>
        <v>0.000110492653414002</v>
      </c>
      <c r="W92" s="28" t="n">
        <f aca="false">IF(S92="",O92,S92)</f>
        <v>1.10492653414002E-005</v>
      </c>
      <c r="X92" s="28" t="n">
        <f aca="false">IF(T92="",Q92,T92)</f>
        <v>8.66609046384327E-007</v>
      </c>
      <c r="Y92" s="20" t="str">
        <f aca="false">IF(S92="","",IF(O92&lt;S92,"Calc STRICTER (lower)","Calc more lenient (higher)"))</f>
        <v/>
      </c>
      <c r="Z92" s="20" t="str">
        <f aca="false">IF(B92="XL","Hemizygous male AF (grpmax)","grpmax FAF95; check SAS, IndiGen, GenomeIndia")</f>
        <v>grpmax FAF95; check SAS, IndiGen, GenomeIndia</v>
      </c>
      <c r="AA92" s="20"/>
      <c r="AB92" s="20"/>
    </row>
    <row r="93" customFormat="false" ht="15" hidden="false" customHeight="false" outlineLevel="0" collapsed="false">
      <c r="A93" s="19" t="s">
        <v>229</v>
      </c>
      <c r="B93" s="20" t="s">
        <v>96</v>
      </c>
      <c r="C93" s="20" t="s">
        <v>225</v>
      </c>
      <c r="D93" s="21" t="n">
        <f aca="false">SUMIF(Indian_Gene_Shares!$B$5:$B$47,A93,Indian_Gene_Shares!$G$5:$G$47)</f>
        <v>0</v>
      </c>
      <c r="E93" s="9" t="n">
        <f aca="false">IFERROR(INDEX(ARIDE_Cohort!$C$6:$C$207,MATCH(A93,ARIDE_Cohort!$A$6:$A$207,0)),0)</f>
        <v>0</v>
      </c>
      <c r="F93" s="22" t="n">
        <f aca="false">MAX(Inputs!$B$24,IF(AND(Inputs!$B$29="ARIDE cohort",ARIDE_Cohort!$B$3&gt;=Inputs!$B$30),E93,D93))</f>
        <v>0.01</v>
      </c>
      <c r="G93" s="20" t="str">
        <f aca="false">IF(AND(Inputs!$B$29="ARIDE cohort",ARIDE_Cohort!$B$3&gt;=Inputs!$B$30),IF(E93&gt;Inputs!$B$24,"ARIDE cohort","Floor (ARIDE share below floor)"),IF(D93&gt;Inputs!$B$24,"Indian literature",IF(D93&gt;0,"Floor (Indian share below floor)","Floor (no Indian data)")))</f>
        <v>Floor (no Indian data)</v>
      </c>
      <c r="H93" s="23" t="n">
        <f aca="false">IF(B93="AR",Inputs!$B$14,IF(B93="AD",Inputs!$B$15,Inputs!$B$16))</f>
        <v>1</v>
      </c>
      <c r="I93" s="12"/>
      <c r="J93" s="24" t="n">
        <f aca="false">IF(I93="",H93,I93)</f>
        <v>1</v>
      </c>
      <c r="K93" s="12"/>
      <c r="L93" s="24" t="n">
        <f aca="false">IF(K93="",Inputs!$B$20,K93)</f>
        <v>0.5</v>
      </c>
      <c r="M93" s="25" t="n">
        <f aca="false">IF(B93="AR",SQRT(Inputs!$B$9*F93/J93),IF(B93="AD",Inputs!$B$9*F93/(2*J93),2*Inputs!$B$9*F93/J93))</f>
        <v>0.00470090743184764</v>
      </c>
      <c r="N93" s="25" t="n">
        <f aca="false">IF(B93="AR",IF(Inputs!$B$25=0,SQRT(Inputs!$B$8*F93/J93),(-Inputs!$B$25+SQRT(Inputs!$B$25^2+4*(1-Inputs!$B$25)*Inputs!$B$8*F93/J93))/(2*(1-Inputs!$B$25))),IF(B93="AD",Inputs!$B$8*F93/(2*J93),2*Inputs!$B$8*F93/J93))</f>
        <v>0.00416319359719033</v>
      </c>
      <c r="O93" s="25" t="n">
        <f aca="false">MIN(Inputs!$B$26,M93*L93)</f>
        <v>0.00235045371592382</v>
      </c>
      <c r="P93" s="25" t="n">
        <f aca="false">MIN(Inputs!$B$26,O93*Inputs!$B$19)</f>
        <v>0.0235045371592382</v>
      </c>
      <c r="Q93" s="25" t="n">
        <f aca="false">MIN(O93,N93*Inputs!$B$21)</f>
        <v>0.000208159679859516</v>
      </c>
      <c r="R93" s="26"/>
      <c r="S93" s="26"/>
      <c r="T93" s="26"/>
      <c r="U93" s="20" t="str">
        <f aca="false">IF(COUNT(R93:T93)&gt;0,"Published spec (+calc where blank)","Calculated (this workbook)")</f>
        <v>Calculated (this workbook)</v>
      </c>
      <c r="V93" s="28" t="n">
        <f aca="false">IF(R93="",MAX(P93,W93),R93)</f>
        <v>0.0235045371592382</v>
      </c>
      <c r="W93" s="28" t="n">
        <f aca="false">IF(S93="",O93,S93)</f>
        <v>0.00235045371592382</v>
      </c>
      <c r="X93" s="28" t="n">
        <f aca="false">IF(T93="",Q93,T93)</f>
        <v>0.000208159679859516</v>
      </c>
      <c r="Y93" s="20" t="str">
        <f aca="false">IF(S93="","",IF(O93&lt;S93,"Calc STRICTER (lower)","Calc more lenient (higher)"))</f>
        <v/>
      </c>
      <c r="Z93" s="20" t="str">
        <f aca="false">IF(B93="XL","Hemizygous male AF (grpmax)","grpmax FAF95; check SAS, IndiGen, GenomeIndia")</f>
        <v>grpmax FAF95; check SAS, IndiGen, GenomeIndia</v>
      </c>
      <c r="AA93" s="20"/>
      <c r="AB93" s="20"/>
    </row>
    <row r="94" customFormat="false" ht="15" hidden="false" customHeight="false" outlineLevel="0" collapsed="false">
      <c r="A94" s="19" t="s">
        <v>230</v>
      </c>
      <c r="B94" s="20" t="s">
        <v>96</v>
      </c>
      <c r="C94" s="20" t="s">
        <v>105</v>
      </c>
      <c r="D94" s="21" t="n">
        <f aca="false">SUMIF(Indian_Gene_Shares!$B$5:$B$47,A94,Indian_Gene_Shares!$G$5:$G$47)</f>
        <v>0</v>
      </c>
      <c r="E94" s="9" t="n">
        <f aca="false">IFERROR(INDEX(ARIDE_Cohort!$C$6:$C$207,MATCH(A94,ARIDE_Cohort!$A$6:$A$207,0)),0)</f>
        <v>0</v>
      </c>
      <c r="F94" s="22" t="n">
        <f aca="false">MAX(Inputs!$B$24,IF(AND(Inputs!$B$29="ARIDE cohort",ARIDE_Cohort!$B$3&gt;=Inputs!$B$30),E94,D94))</f>
        <v>0.01</v>
      </c>
      <c r="G94" s="20" t="str">
        <f aca="false">IF(AND(Inputs!$B$29="ARIDE cohort",ARIDE_Cohort!$B$3&gt;=Inputs!$B$30),IF(E94&gt;Inputs!$B$24,"ARIDE cohort","Floor (ARIDE share below floor)"),IF(D94&gt;Inputs!$B$24,"Indian literature",IF(D94&gt;0,"Floor (Indian share below floor)","Floor (no Indian data)")))</f>
        <v>Floor (no Indian data)</v>
      </c>
      <c r="H94" s="23" t="n">
        <f aca="false">IF(B94="AR",Inputs!$B$14,IF(B94="AD",Inputs!$B$15,Inputs!$B$16))</f>
        <v>1</v>
      </c>
      <c r="I94" s="12"/>
      <c r="J94" s="24" t="n">
        <f aca="false">IF(I94="",H94,I94)</f>
        <v>1</v>
      </c>
      <c r="K94" s="12"/>
      <c r="L94" s="24" t="n">
        <f aca="false">IF(K94="",Inputs!$B$20,K94)</f>
        <v>0.5</v>
      </c>
      <c r="M94" s="25" t="n">
        <f aca="false">IF(B94="AR",SQRT(Inputs!$B$9*F94/J94),IF(B94="AD",Inputs!$B$9*F94/(2*J94),2*Inputs!$B$9*F94/J94))</f>
        <v>0.00470090743184764</v>
      </c>
      <c r="N94" s="25" t="n">
        <f aca="false">IF(B94="AR",IF(Inputs!$B$25=0,SQRT(Inputs!$B$8*F94/J94),(-Inputs!$B$25+SQRT(Inputs!$B$25^2+4*(1-Inputs!$B$25)*Inputs!$B$8*F94/J94))/(2*(1-Inputs!$B$25))),IF(B94="AD",Inputs!$B$8*F94/(2*J94),2*Inputs!$B$8*F94/J94))</f>
        <v>0.00416319359719033</v>
      </c>
      <c r="O94" s="25" t="n">
        <f aca="false">MIN(Inputs!$B$26,M94*L94)</f>
        <v>0.00235045371592382</v>
      </c>
      <c r="P94" s="25" t="n">
        <f aca="false">MIN(Inputs!$B$26,O94*Inputs!$B$19)</f>
        <v>0.0235045371592382</v>
      </c>
      <c r="Q94" s="25" t="n">
        <f aca="false">MIN(O94,N94*Inputs!$B$21)</f>
        <v>0.000208159679859516</v>
      </c>
      <c r="R94" s="26"/>
      <c r="S94" s="26"/>
      <c r="T94" s="26"/>
      <c r="U94" s="20" t="str">
        <f aca="false">IF(COUNT(R94:T94)&gt;0,"Published spec (+calc where blank)","Calculated (this workbook)")</f>
        <v>Calculated (this workbook)</v>
      </c>
      <c r="V94" s="28" t="n">
        <f aca="false">IF(R94="",MAX(P94,W94),R94)</f>
        <v>0.0235045371592382</v>
      </c>
      <c r="W94" s="28" t="n">
        <f aca="false">IF(S94="",O94,S94)</f>
        <v>0.00235045371592382</v>
      </c>
      <c r="X94" s="28" t="n">
        <f aca="false">IF(T94="",Q94,T94)</f>
        <v>0.000208159679859516</v>
      </c>
      <c r="Y94" s="20" t="str">
        <f aca="false">IF(S94="","",IF(O94&lt;S94,"Calc STRICTER (lower)","Calc more lenient (higher)"))</f>
        <v/>
      </c>
      <c r="Z94" s="20" t="str">
        <f aca="false">IF(B94="XL","Hemizygous male AF (grpmax)","grpmax FAF95; check SAS, IndiGen, GenomeIndia")</f>
        <v>grpmax FAF95; check SAS, IndiGen, GenomeIndia</v>
      </c>
      <c r="AA94" s="20"/>
      <c r="AB94" s="20"/>
    </row>
    <row r="95" customFormat="false" ht="15" hidden="false" customHeight="false" outlineLevel="0" collapsed="false">
      <c r="A95" s="19" t="s">
        <v>231</v>
      </c>
      <c r="B95" s="20" t="s">
        <v>96</v>
      </c>
      <c r="C95" s="20" t="s">
        <v>232</v>
      </c>
      <c r="D95" s="21" t="n">
        <f aca="false">SUMIF(Indian_Gene_Shares!$B$5:$B$47,A95,Indian_Gene_Shares!$G$5:$G$47)</f>
        <v>0</v>
      </c>
      <c r="E95" s="9" t="n">
        <f aca="false">IFERROR(INDEX(ARIDE_Cohort!$C$6:$C$207,MATCH(A95,ARIDE_Cohort!$A$6:$A$207,0)),0)</f>
        <v>0</v>
      </c>
      <c r="F95" s="22" t="n">
        <f aca="false">MAX(Inputs!$B$24,IF(AND(Inputs!$B$29="ARIDE cohort",ARIDE_Cohort!$B$3&gt;=Inputs!$B$30),E95,D95))</f>
        <v>0.01</v>
      </c>
      <c r="G95" s="20" t="str">
        <f aca="false">IF(AND(Inputs!$B$29="ARIDE cohort",ARIDE_Cohort!$B$3&gt;=Inputs!$B$30),IF(E95&gt;Inputs!$B$24,"ARIDE cohort","Floor (ARIDE share below floor)"),IF(D95&gt;Inputs!$B$24,"Indian literature",IF(D95&gt;0,"Floor (Indian share below floor)","Floor (no Indian data)")))</f>
        <v>Floor (no Indian data)</v>
      </c>
      <c r="H95" s="23" t="n">
        <f aca="false">IF(B95="AR",Inputs!$B$14,IF(B95="AD",Inputs!$B$15,Inputs!$B$16))</f>
        <v>1</v>
      </c>
      <c r="I95" s="12"/>
      <c r="J95" s="24" t="n">
        <f aca="false">IF(I95="",H95,I95)</f>
        <v>1</v>
      </c>
      <c r="K95" s="12"/>
      <c r="L95" s="24" t="n">
        <f aca="false">IF(K95="",Inputs!$B$20,K95)</f>
        <v>0.5</v>
      </c>
      <c r="M95" s="25" t="n">
        <f aca="false">IF(B95="AR",SQRT(Inputs!$B$9*F95/J95),IF(B95="AD",Inputs!$B$9*F95/(2*J95),2*Inputs!$B$9*F95/J95))</f>
        <v>0.00470090743184764</v>
      </c>
      <c r="N95" s="25" t="n">
        <f aca="false">IF(B95="AR",IF(Inputs!$B$25=0,SQRT(Inputs!$B$8*F95/J95),(-Inputs!$B$25+SQRT(Inputs!$B$25^2+4*(1-Inputs!$B$25)*Inputs!$B$8*F95/J95))/(2*(1-Inputs!$B$25))),IF(B95="AD",Inputs!$B$8*F95/(2*J95),2*Inputs!$B$8*F95/J95))</f>
        <v>0.00416319359719033</v>
      </c>
      <c r="O95" s="25" t="n">
        <f aca="false">MIN(Inputs!$B$26,M95*L95)</f>
        <v>0.00235045371592382</v>
      </c>
      <c r="P95" s="25" t="n">
        <f aca="false">MIN(Inputs!$B$26,O95*Inputs!$B$19)</f>
        <v>0.0235045371592382</v>
      </c>
      <c r="Q95" s="25" t="n">
        <f aca="false">MIN(O95,N95*Inputs!$B$21)</f>
        <v>0.000208159679859516</v>
      </c>
      <c r="R95" s="26"/>
      <c r="S95" s="26"/>
      <c r="T95" s="26"/>
      <c r="U95" s="20" t="str">
        <f aca="false">IF(COUNT(R95:T95)&gt;0,"Published spec (+calc where blank)","Calculated (this workbook)")</f>
        <v>Calculated (this workbook)</v>
      </c>
      <c r="V95" s="28" t="n">
        <f aca="false">IF(R95="",MAX(P95,W95),R95)</f>
        <v>0.0235045371592382</v>
      </c>
      <c r="W95" s="28" t="n">
        <f aca="false">IF(S95="",O95,S95)</f>
        <v>0.00235045371592382</v>
      </c>
      <c r="X95" s="28" t="n">
        <f aca="false">IF(T95="",Q95,T95)</f>
        <v>0.000208159679859516</v>
      </c>
      <c r="Y95" s="20" t="str">
        <f aca="false">IF(S95="","",IF(O95&lt;S95,"Calc STRICTER (lower)","Calc more lenient (higher)"))</f>
        <v/>
      </c>
      <c r="Z95" s="20" t="str">
        <f aca="false">IF(B95="XL","Hemizygous male AF (grpmax)","grpmax FAF95; check SAS, IndiGen, GenomeIndia")</f>
        <v>grpmax FAF95; check SAS, IndiGen, GenomeIndia</v>
      </c>
      <c r="AA95" s="20"/>
      <c r="AB95" s="20"/>
    </row>
    <row r="96" customFormat="false" ht="15" hidden="false" customHeight="false" outlineLevel="0" collapsed="false">
      <c r="A96" s="19" t="s">
        <v>233</v>
      </c>
      <c r="B96" s="20" t="s">
        <v>96</v>
      </c>
      <c r="C96" s="20" t="s">
        <v>234</v>
      </c>
      <c r="D96" s="21" t="n">
        <f aca="false">SUMIF(Indian_Gene_Shares!$B$5:$B$47,A96,Indian_Gene_Shares!$G$5:$G$47)</f>
        <v>0</v>
      </c>
      <c r="E96" s="9" t="n">
        <f aca="false">IFERROR(INDEX(ARIDE_Cohort!$C$6:$C$207,MATCH(A96,ARIDE_Cohort!$A$6:$A$207,0)),0)</f>
        <v>0</v>
      </c>
      <c r="F96" s="22" t="n">
        <f aca="false">MAX(Inputs!$B$24,IF(AND(Inputs!$B$29="ARIDE cohort",ARIDE_Cohort!$B$3&gt;=Inputs!$B$30),E96,D96))</f>
        <v>0.01</v>
      </c>
      <c r="G96" s="20" t="str">
        <f aca="false">IF(AND(Inputs!$B$29="ARIDE cohort",ARIDE_Cohort!$B$3&gt;=Inputs!$B$30),IF(E96&gt;Inputs!$B$24,"ARIDE cohort","Floor (ARIDE share below floor)"),IF(D96&gt;Inputs!$B$24,"Indian literature",IF(D96&gt;0,"Floor (Indian share below floor)","Floor (no Indian data)")))</f>
        <v>Floor (no Indian data)</v>
      </c>
      <c r="H96" s="23" t="n">
        <f aca="false">IF(B96="AR",Inputs!$B$14,IF(B96="AD",Inputs!$B$15,Inputs!$B$16))</f>
        <v>1</v>
      </c>
      <c r="I96" s="12"/>
      <c r="J96" s="24" t="n">
        <f aca="false">IF(I96="",H96,I96)</f>
        <v>1</v>
      </c>
      <c r="K96" s="12"/>
      <c r="L96" s="24" t="n">
        <f aca="false">IF(K96="",Inputs!$B$20,K96)</f>
        <v>0.5</v>
      </c>
      <c r="M96" s="25" t="n">
        <f aca="false">IF(B96="AR",SQRT(Inputs!$B$9*F96/J96),IF(B96="AD",Inputs!$B$9*F96/(2*J96),2*Inputs!$B$9*F96/J96))</f>
        <v>0.00470090743184764</v>
      </c>
      <c r="N96" s="25" t="n">
        <f aca="false">IF(B96="AR",IF(Inputs!$B$25=0,SQRT(Inputs!$B$8*F96/J96),(-Inputs!$B$25+SQRT(Inputs!$B$25^2+4*(1-Inputs!$B$25)*Inputs!$B$8*F96/J96))/(2*(1-Inputs!$B$25))),IF(B96="AD",Inputs!$B$8*F96/(2*J96),2*Inputs!$B$8*F96/J96))</f>
        <v>0.00416319359719033</v>
      </c>
      <c r="O96" s="25" t="n">
        <f aca="false">MIN(Inputs!$B$26,M96*L96)</f>
        <v>0.00235045371592382</v>
      </c>
      <c r="P96" s="25" t="n">
        <f aca="false">MIN(Inputs!$B$26,O96*Inputs!$B$19)</f>
        <v>0.0235045371592382</v>
      </c>
      <c r="Q96" s="25" t="n">
        <f aca="false">MIN(O96,N96*Inputs!$B$21)</f>
        <v>0.000208159679859516</v>
      </c>
      <c r="R96" s="26"/>
      <c r="S96" s="26"/>
      <c r="T96" s="26"/>
      <c r="U96" s="20" t="str">
        <f aca="false">IF(COUNT(R96:T96)&gt;0,"Published spec (+calc where blank)","Calculated (this workbook)")</f>
        <v>Calculated (this workbook)</v>
      </c>
      <c r="V96" s="28" t="n">
        <f aca="false">IF(R96="",MAX(P96,W96),R96)</f>
        <v>0.0235045371592382</v>
      </c>
      <c r="W96" s="28" t="n">
        <f aca="false">IF(S96="",O96,S96)</f>
        <v>0.00235045371592382</v>
      </c>
      <c r="X96" s="28" t="n">
        <f aca="false">IF(T96="",Q96,T96)</f>
        <v>0.000208159679859516</v>
      </c>
      <c r="Y96" s="20" t="str">
        <f aca="false">IF(S96="","",IF(O96&lt;S96,"Calc STRICTER (lower)","Calc more lenient (higher)"))</f>
        <v/>
      </c>
      <c r="Z96" s="20" t="str">
        <f aca="false">IF(B96="XL","Hemizygous male AF (grpmax)","grpmax FAF95; check SAS, IndiGen, GenomeIndia")</f>
        <v>grpmax FAF95; check SAS, IndiGen, GenomeIndia</v>
      </c>
      <c r="AA96" s="20"/>
      <c r="AB96" s="20"/>
    </row>
    <row r="97" customFormat="false" ht="15" hidden="false" customHeight="false" outlineLevel="0" collapsed="false">
      <c r="A97" s="19" t="s">
        <v>235</v>
      </c>
      <c r="B97" s="20" t="s">
        <v>96</v>
      </c>
      <c r="C97" s="20" t="s">
        <v>129</v>
      </c>
      <c r="D97" s="21" t="n">
        <f aca="false">SUMIF(Indian_Gene_Shares!$B$5:$B$47,A97,Indian_Gene_Shares!$G$5:$G$47)</f>
        <v>0</v>
      </c>
      <c r="E97" s="9" t="n">
        <f aca="false">IFERROR(INDEX(ARIDE_Cohort!$C$6:$C$207,MATCH(A97,ARIDE_Cohort!$A$6:$A$207,0)),0)</f>
        <v>0</v>
      </c>
      <c r="F97" s="22" t="n">
        <f aca="false">MAX(Inputs!$B$24,IF(AND(Inputs!$B$29="ARIDE cohort",ARIDE_Cohort!$B$3&gt;=Inputs!$B$30),E97,D97))</f>
        <v>0.01</v>
      </c>
      <c r="G97" s="20" t="str">
        <f aca="false">IF(AND(Inputs!$B$29="ARIDE cohort",ARIDE_Cohort!$B$3&gt;=Inputs!$B$30),IF(E97&gt;Inputs!$B$24,"ARIDE cohort","Floor (ARIDE share below floor)"),IF(D97&gt;Inputs!$B$24,"Indian literature",IF(D97&gt;0,"Floor (Indian share below floor)","Floor (no Indian data)")))</f>
        <v>Floor (no Indian data)</v>
      </c>
      <c r="H97" s="23" t="n">
        <f aca="false">IF(B97="AR",Inputs!$B$14,IF(B97="AD",Inputs!$B$15,Inputs!$B$16))</f>
        <v>1</v>
      </c>
      <c r="I97" s="12"/>
      <c r="J97" s="24" t="n">
        <f aca="false">IF(I97="",H97,I97)</f>
        <v>1</v>
      </c>
      <c r="K97" s="12"/>
      <c r="L97" s="24" t="n">
        <f aca="false">IF(K97="",Inputs!$B$20,K97)</f>
        <v>0.5</v>
      </c>
      <c r="M97" s="25" t="n">
        <f aca="false">IF(B97="AR",SQRT(Inputs!$B$9*F97/J97),IF(B97="AD",Inputs!$B$9*F97/(2*J97),2*Inputs!$B$9*F97/J97))</f>
        <v>0.00470090743184764</v>
      </c>
      <c r="N97" s="25" t="n">
        <f aca="false">IF(B97="AR",IF(Inputs!$B$25=0,SQRT(Inputs!$B$8*F97/J97),(-Inputs!$B$25+SQRT(Inputs!$B$25^2+4*(1-Inputs!$B$25)*Inputs!$B$8*F97/J97))/(2*(1-Inputs!$B$25))),IF(B97="AD",Inputs!$B$8*F97/(2*J97),2*Inputs!$B$8*F97/J97))</f>
        <v>0.00416319359719033</v>
      </c>
      <c r="O97" s="25" t="n">
        <f aca="false">MIN(Inputs!$B$26,M97*L97)</f>
        <v>0.00235045371592382</v>
      </c>
      <c r="P97" s="25" t="n">
        <f aca="false">MIN(Inputs!$B$26,O97*Inputs!$B$19)</f>
        <v>0.0235045371592382</v>
      </c>
      <c r="Q97" s="25" t="n">
        <f aca="false">MIN(O97,N97*Inputs!$B$21)</f>
        <v>0.000208159679859516</v>
      </c>
      <c r="R97" s="26"/>
      <c r="S97" s="26"/>
      <c r="T97" s="26"/>
      <c r="U97" s="20" t="str">
        <f aca="false">IF(COUNT(R97:T97)&gt;0,"Published spec (+calc where blank)","Calculated (this workbook)")</f>
        <v>Calculated (this workbook)</v>
      </c>
      <c r="V97" s="28" t="n">
        <f aca="false">IF(R97="",MAX(P97,W97),R97)</f>
        <v>0.0235045371592382</v>
      </c>
      <c r="W97" s="28" t="n">
        <f aca="false">IF(S97="",O97,S97)</f>
        <v>0.00235045371592382</v>
      </c>
      <c r="X97" s="28" t="n">
        <f aca="false">IF(T97="",Q97,T97)</f>
        <v>0.000208159679859516</v>
      </c>
      <c r="Y97" s="20" t="str">
        <f aca="false">IF(S97="","",IF(O97&lt;S97,"Calc STRICTER (lower)","Calc more lenient (higher)"))</f>
        <v/>
      </c>
      <c r="Z97" s="20" t="str">
        <f aca="false">IF(B97="XL","Hemizygous male AF (grpmax)","grpmax FAF95; check SAS, IndiGen, GenomeIndia")</f>
        <v>grpmax FAF95; check SAS, IndiGen, GenomeIndia</v>
      </c>
      <c r="AA97" s="20"/>
      <c r="AB97" s="20"/>
    </row>
    <row r="98" customFormat="false" ht="15" hidden="false" customHeight="false" outlineLevel="0" collapsed="false">
      <c r="A98" s="19" t="s">
        <v>236</v>
      </c>
      <c r="B98" s="20" t="s">
        <v>96</v>
      </c>
      <c r="C98" s="20" t="s">
        <v>129</v>
      </c>
      <c r="D98" s="21" t="n">
        <f aca="false">SUMIF(Indian_Gene_Shares!$B$5:$B$47,A98,Indian_Gene_Shares!$G$5:$G$47)</f>
        <v>0</v>
      </c>
      <c r="E98" s="9" t="n">
        <f aca="false">IFERROR(INDEX(ARIDE_Cohort!$C$6:$C$207,MATCH(A98,ARIDE_Cohort!$A$6:$A$207,0)),0)</f>
        <v>0</v>
      </c>
      <c r="F98" s="22" t="n">
        <f aca="false">MAX(Inputs!$B$24,IF(AND(Inputs!$B$29="ARIDE cohort",ARIDE_Cohort!$B$3&gt;=Inputs!$B$30),E98,D98))</f>
        <v>0.01</v>
      </c>
      <c r="G98" s="20" t="str">
        <f aca="false">IF(AND(Inputs!$B$29="ARIDE cohort",ARIDE_Cohort!$B$3&gt;=Inputs!$B$30),IF(E98&gt;Inputs!$B$24,"ARIDE cohort","Floor (ARIDE share below floor)"),IF(D98&gt;Inputs!$B$24,"Indian literature",IF(D98&gt;0,"Floor (Indian share below floor)","Floor (no Indian data)")))</f>
        <v>Floor (no Indian data)</v>
      </c>
      <c r="H98" s="23" t="n">
        <f aca="false">IF(B98="AR",Inputs!$B$14,IF(B98="AD",Inputs!$B$15,Inputs!$B$16))</f>
        <v>1</v>
      </c>
      <c r="I98" s="12"/>
      <c r="J98" s="24" t="n">
        <f aca="false">IF(I98="",H98,I98)</f>
        <v>1</v>
      </c>
      <c r="K98" s="12"/>
      <c r="L98" s="24" t="n">
        <f aca="false">IF(K98="",Inputs!$B$20,K98)</f>
        <v>0.5</v>
      </c>
      <c r="M98" s="25" t="n">
        <f aca="false">IF(B98="AR",SQRT(Inputs!$B$9*F98/J98),IF(B98="AD",Inputs!$B$9*F98/(2*J98),2*Inputs!$B$9*F98/J98))</f>
        <v>0.00470090743184764</v>
      </c>
      <c r="N98" s="25" t="n">
        <f aca="false">IF(B98="AR",IF(Inputs!$B$25=0,SQRT(Inputs!$B$8*F98/J98),(-Inputs!$B$25+SQRT(Inputs!$B$25^2+4*(1-Inputs!$B$25)*Inputs!$B$8*F98/J98))/(2*(1-Inputs!$B$25))),IF(B98="AD",Inputs!$B$8*F98/(2*J98),2*Inputs!$B$8*F98/J98))</f>
        <v>0.00416319359719033</v>
      </c>
      <c r="O98" s="25" t="n">
        <f aca="false">MIN(Inputs!$B$26,M98*L98)</f>
        <v>0.00235045371592382</v>
      </c>
      <c r="P98" s="25" t="n">
        <f aca="false">MIN(Inputs!$B$26,O98*Inputs!$B$19)</f>
        <v>0.0235045371592382</v>
      </c>
      <c r="Q98" s="25" t="n">
        <f aca="false">MIN(O98,N98*Inputs!$B$21)</f>
        <v>0.000208159679859516</v>
      </c>
      <c r="R98" s="26"/>
      <c r="S98" s="26"/>
      <c r="T98" s="26"/>
      <c r="U98" s="20" t="str">
        <f aca="false">IF(COUNT(R98:T98)&gt;0,"Published spec (+calc where blank)","Calculated (this workbook)")</f>
        <v>Calculated (this workbook)</v>
      </c>
      <c r="V98" s="28" t="n">
        <f aca="false">IF(R98="",MAX(P98,W98),R98)</f>
        <v>0.0235045371592382</v>
      </c>
      <c r="W98" s="28" t="n">
        <f aca="false">IF(S98="",O98,S98)</f>
        <v>0.00235045371592382</v>
      </c>
      <c r="X98" s="28" t="n">
        <f aca="false">IF(T98="",Q98,T98)</f>
        <v>0.000208159679859516</v>
      </c>
      <c r="Y98" s="20" t="str">
        <f aca="false">IF(S98="","",IF(O98&lt;S98,"Calc STRICTER (lower)","Calc more lenient (higher)"))</f>
        <v/>
      </c>
      <c r="Z98" s="20" t="str">
        <f aca="false">IF(B98="XL","Hemizygous male AF (grpmax)","grpmax FAF95; check SAS, IndiGen, GenomeIndia")</f>
        <v>grpmax FAF95; check SAS, IndiGen, GenomeIndia</v>
      </c>
      <c r="AA98" s="20"/>
      <c r="AB98" s="20"/>
    </row>
    <row r="99" customFormat="false" ht="15" hidden="false" customHeight="false" outlineLevel="0" collapsed="false">
      <c r="A99" s="19" t="s">
        <v>237</v>
      </c>
      <c r="B99" s="20" t="s">
        <v>109</v>
      </c>
      <c r="C99" s="20" t="s">
        <v>238</v>
      </c>
      <c r="D99" s="21" t="n">
        <f aca="false">SUMIF(Indian_Gene_Shares!$B$5:$B$47,A99,Indian_Gene_Shares!$G$5:$G$47)</f>
        <v>0</v>
      </c>
      <c r="E99" s="9" t="n">
        <f aca="false">IFERROR(INDEX(ARIDE_Cohort!$C$6:$C$207,MATCH(A99,ARIDE_Cohort!$A$6:$A$207,0)),0)</f>
        <v>0</v>
      </c>
      <c r="F99" s="22" t="n">
        <f aca="false">MAX(Inputs!$B$24,IF(AND(Inputs!$B$29="ARIDE cohort",ARIDE_Cohort!$B$3&gt;=Inputs!$B$30),E99,D99))</f>
        <v>0.01</v>
      </c>
      <c r="G99" s="20" t="str">
        <f aca="false">IF(AND(Inputs!$B$29="ARIDE cohort",ARIDE_Cohort!$B$3&gt;=Inputs!$B$30),IF(E99&gt;Inputs!$B$24,"ARIDE cohort","Floor (ARIDE share below floor)"),IF(D99&gt;Inputs!$B$24,"Indian literature",IF(D99&gt;0,"Floor (Indian share below floor)","Floor (no Indian data)")))</f>
        <v>Floor (no Indian data)</v>
      </c>
      <c r="H99" s="23" t="n">
        <f aca="false">IF(B99="AR",Inputs!$B$14,IF(B99="AD",Inputs!$B$15,Inputs!$B$16))</f>
        <v>0.5</v>
      </c>
      <c r="I99" s="12"/>
      <c r="J99" s="24" t="n">
        <f aca="false">IF(I99="",H99,I99)</f>
        <v>0.5</v>
      </c>
      <c r="K99" s="12"/>
      <c r="L99" s="24" t="n">
        <f aca="false">IF(K99="",Inputs!$B$20,K99)</f>
        <v>0.5</v>
      </c>
      <c r="M99" s="25" t="n">
        <f aca="false">IF(B99="AR",SQRT(Inputs!$B$9*F99/J99),IF(B99="AD",Inputs!$B$9*F99/(2*J99),2*Inputs!$B$9*F99/J99))</f>
        <v>2.20985306828003E-005</v>
      </c>
      <c r="N99" s="25" t="n">
        <f aca="false">IF(B99="AR",IF(Inputs!$B$25=0,SQRT(Inputs!$B$8*F99/J99),(-Inputs!$B$25+SQRT(Inputs!$B$25^2+4*(1-Inputs!$B$25)*Inputs!$B$8*F99/J99))/(2*(1-Inputs!$B$25))),IF(B99="AD",Inputs!$B$8*F99/(2*J99),2*Inputs!$B$8*F99/J99))</f>
        <v>1.73321809276865E-005</v>
      </c>
      <c r="O99" s="25" t="n">
        <f aca="false">MIN(Inputs!$B$26,M99*L99)</f>
        <v>1.10492653414002E-005</v>
      </c>
      <c r="P99" s="25" t="n">
        <f aca="false">MIN(Inputs!$B$26,O99*Inputs!$B$19)</f>
        <v>0.000110492653414002</v>
      </c>
      <c r="Q99" s="25" t="n">
        <f aca="false">MIN(O99,N99*Inputs!$B$21)</f>
        <v>8.66609046384327E-007</v>
      </c>
      <c r="R99" s="26"/>
      <c r="S99" s="26"/>
      <c r="T99" s="26"/>
      <c r="U99" s="20" t="str">
        <f aca="false">IF(COUNT(R99:T99)&gt;0,"Published spec (+calc where blank)","Calculated (this workbook)")</f>
        <v>Calculated (this workbook)</v>
      </c>
      <c r="V99" s="28" t="n">
        <f aca="false">IF(R99="",MAX(P99,W99),R99)</f>
        <v>0.000110492653414002</v>
      </c>
      <c r="W99" s="28" t="n">
        <f aca="false">IF(S99="",O99,S99)</f>
        <v>1.10492653414002E-005</v>
      </c>
      <c r="X99" s="28" t="n">
        <f aca="false">IF(T99="",Q99,T99)</f>
        <v>8.66609046384327E-007</v>
      </c>
      <c r="Y99" s="20" t="str">
        <f aca="false">IF(S99="","",IF(O99&lt;S99,"Calc STRICTER (lower)","Calc more lenient (higher)"))</f>
        <v/>
      </c>
      <c r="Z99" s="20" t="str">
        <f aca="false">IF(B99="XL","Hemizygous male AF (grpmax)","grpmax FAF95; check SAS, IndiGen, GenomeIndia")</f>
        <v>grpmax FAF95; check SAS, IndiGen, GenomeIndia</v>
      </c>
      <c r="AA99" s="20"/>
      <c r="AB99" s="20"/>
    </row>
    <row r="100" customFormat="false" ht="15" hidden="false" customHeight="false" outlineLevel="0" collapsed="false">
      <c r="A100" s="19" t="s">
        <v>239</v>
      </c>
      <c r="B100" s="20" t="s">
        <v>109</v>
      </c>
      <c r="C100" s="20" t="s">
        <v>240</v>
      </c>
      <c r="D100" s="21" t="n">
        <f aca="false">SUMIF(Indian_Gene_Shares!$B$5:$B$47,A100,Indian_Gene_Shares!$G$5:$G$47)</f>
        <v>0</v>
      </c>
      <c r="E100" s="9" t="n">
        <f aca="false">IFERROR(INDEX(ARIDE_Cohort!$C$6:$C$207,MATCH(A100,ARIDE_Cohort!$A$6:$A$207,0)),0)</f>
        <v>0</v>
      </c>
      <c r="F100" s="22" t="n">
        <f aca="false">MAX(Inputs!$B$24,IF(AND(Inputs!$B$29="ARIDE cohort",ARIDE_Cohort!$B$3&gt;=Inputs!$B$30),E100,D100))</f>
        <v>0.01</v>
      </c>
      <c r="G100" s="20" t="str">
        <f aca="false">IF(AND(Inputs!$B$29="ARIDE cohort",ARIDE_Cohort!$B$3&gt;=Inputs!$B$30),IF(E100&gt;Inputs!$B$24,"ARIDE cohort","Floor (ARIDE share below floor)"),IF(D100&gt;Inputs!$B$24,"Indian literature",IF(D100&gt;0,"Floor (Indian share below floor)","Floor (no Indian data)")))</f>
        <v>Floor (no Indian data)</v>
      </c>
      <c r="H100" s="23" t="n">
        <f aca="false">IF(B100="AR",Inputs!$B$14,IF(B100="AD",Inputs!$B$15,Inputs!$B$16))</f>
        <v>0.5</v>
      </c>
      <c r="I100" s="12"/>
      <c r="J100" s="24" t="n">
        <f aca="false">IF(I100="",H100,I100)</f>
        <v>0.5</v>
      </c>
      <c r="K100" s="12"/>
      <c r="L100" s="24" t="n">
        <f aca="false">IF(K100="",Inputs!$B$20,K100)</f>
        <v>0.5</v>
      </c>
      <c r="M100" s="25" t="n">
        <f aca="false">IF(B100="AR",SQRT(Inputs!$B$9*F100/J100),IF(B100="AD",Inputs!$B$9*F100/(2*J100),2*Inputs!$B$9*F100/J100))</f>
        <v>2.20985306828003E-005</v>
      </c>
      <c r="N100" s="25" t="n">
        <f aca="false">IF(B100="AR",IF(Inputs!$B$25=0,SQRT(Inputs!$B$8*F100/J100),(-Inputs!$B$25+SQRT(Inputs!$B$25^2+4*(1-Inputs!$B$25)*Inputs!$B$8*F100/J100))/(2*(1-Inputs!$B$25))),IF(B100="AD",Inputs!$B$8*F100/(2*J100),2*Inputs!$B$8*F100/J100))</f>
        <v>1.73321809276865E-005</v>
      </c>
      <c r="O100" s="25" t="n">
        <f aca="false">MIN(Inputs!$B$26,M100*L100)</f>
        <v>1.10492653414002E-005</v>
      </c>
      <c r="P100" s="25" t="n">
        <f aca="false">MIN(Inputs!$B$26,O100*Inputs!$B$19)</f>
        <v>0.000110492653414002</v>
      </c>
      <c r="Q100" s="25" t="n">
        <f aca="false">MIN(O100,N100*Inputs!$B$21)</f>
        <v>8.66609046384327E-007</v>
      </c>
      <c r="R100" s="26"/>
      <c r="S100" s="26"/>
      <c r="T100" s="26"/>
      <c r="U100" s="20" t="str">
        <f aca="false">IF(COUNT(R100:T100)&gt;0,"Published spec (+calc where blank)","Calculated (this workbook)")</f>
        <v>Calculated (this workbook)</v>
      </c>
      <c r="V100" s="28" t="n">
        <f aca="false">IF(R100="",MAX(P100,W100),R100)</f>
        <v>0.000110492653414002</v>
      </c>
      <c r="W100" s="28" t="n">
        <f aca="false">IF(S100="",O100,S100)</f>
        <v>1.10492653414002E-005</v>
      </c>
      <c r="X100" s="28" t="n">
        <f aca="false">IF(T100="",Q100,T100)</f>
        <v>8.66609046384327E-007</v>
      </c>
      <c r="Y100" s="20" t="str">
        <f aca="false">IF(S100="","",IF(O100&lt;S100,"Calc STRICTER (lower)","Calc more lenient (higher)"))</f>
        <v/>
      </c>
      <c r="Z100" s="20" t="str">
        <f aca="false">IF(B100="XL","Hemizygous male AF (grpmax)","grpmax FAF95; check SAS, IndiGen, GenomeIndia")</f>
        <v>grpmax FAF95; check SAS, IndiGen, GenomeIndia</v>
      </c>
      <c r="AA100" s="20"/>
      <c r="AB100" s="20"/>
    </row>
    <row r="101" customFormat="false" ht="15" hidden="false" customHeight="false" outlineLevel="0" collapsed="false">
      <c r="A101" s="19" t="s">
        <v>239</v>
      </c>
      <c r="B101" s="20" t="s">
        <v>96</v>
      </c>
      <c r="C101" s="20" t="s">
        <v>240</v>
      </c>
      <c r="D101" s="21" t="n">
        <f aca="false">SUMIF(Indian_Gene_Shares!$B$5:$B$47,A101,Indian_Gene_Shares!$G$5:$G$47)</f>
        <v>0</v>
      </c>
      <c r="E101" s="9" t="n">
        <f aca="false">IFERROR(INDEX(ARIDE_Cohort!$C$6:$C$207,MATCH(A101,ARIDE_Cohort!$A$6:$A$207,0)),0)</f>
        <v>0</v>
      </c>
      <c r="F101" s="22" t="n">
        <f aca="false">MAX(Inputs!$B$24,IF(AND(Inputs!$B$29="ARIDE cohort",ARIDE_Cohort!$B$3&gt;=Inputs!$B$30),E101,D101))</f>
        <v>0.01</v>
      </c>
      <c r="G101" s="20" t="str">
        <f aca="false">IF(AND(Inputs!$B$29="ARIDE cohort",ARIDE_Cohort!$B$3&gt;=Inputs!$B$30),IF(E101&gt;Inputs!$B$24,"ARIDE cohort","Floor (ARIDE share below floor)"),IF(D101&gt;Inputs!$B$24,"Indian literature",IF(D101&gt;0,"Floor (Indian share below floor)","Floor (no Indian data)")))</f>
        <v>Floor (no Indian data)</v>
      </c>
      <c r="H101" s="23" t="n">
        <f aca="false">IF(B101="AR",Inputs!$B$14,IF(B101="AD",Inputs!$B$15,Inputs!$B$16))</f>
        <v>1</v>
      </c>
      <c r="I101" s="12"/>
      <c r="J101" s="24" t="n">
        <f aca="false">IF(I101="",H101,I101)</f>
        <v>1</v>
      </c>
      <c r="K101" s="12"/>
      <c r="L101" s="24" t="n">
        <f aca="false">IF(K101="",Inputs!$B$20,K101)</f>
        <v>0.5</v>
      </c>
      <c r="M101" s="25" t="n">
        <f aca="false">IF(B101="AR",SQRT(Inputs!$B$9*F101/J101),IF(B101="AD",Inputs!$B$9*F101/(2*J101),2*Inputs!$B$9*F101/J101))</f>
        <v>0.00470090743184764</v>
      </c>
      <c r="N101" s="25" t="n">
        <f aca="false">IF(B101="AR",IF(Inputs!$B$25=0,SQRT(Inputs!$B$8*F101/J101),(-Inputs!$B$25+SQRT(Inputs!$B$25^2+4*(1-Inputs!$B$25)*Inputs!$B$8*F101/J101))/(2*(1-Inputs!$B$25))),IF(B101="AD",Inputs!$B$8*F101/(2*J101),2*Inputs!$B$8*F101/J101))</f>
        <v>0.00416319359719033</v>
      </c>
      <c r="O101" s="25" t="n">
        <f aca="false">MIN(Inputs!$B$26,M101*L101)</f>
        <v>0.00235045371592382</v>
      </c>
      <c r="P101" s="25" t="n">
        <f aca="false">MIN(Inputs!$B$26,O101*Inputs!$B$19)</f>
        <v>0.0235045371592382</v>
      </c>
      <c r="Q101" s="25" t="n">
        <f aca="false">MIN(O101,N101*Inputs!$B$21)</f>
        <v>0.000208159679859516</v>
      </c>
      <c r="R101" s="26"/>
      <c r="S101" s="26"/>
      <c r="T101" s="26"/>
      <c r="U101" s="20" t="str">
        <f aca="false">IF(COUNT(R101:T101)&gt;0,"Published spec (+calc where blank)","Calculated (this workbook)")</f>
        <v>Calculated (this workbook)</v>
      </c>
      <c r="V101" s="28" t="n">
        <f aca="false">IF(R101="",MAX(P101,W101),R101)</f>
        <v>0.0235045371592382</v>
      </c>
      <c r="W101" s="28" t="n">
        <f aca="false">IF(S101="",O101,S101)</f>
        <v>0.00235045371592382</v>
      </c>
      <c r="X101" s="28" t="n">
        <f aca="false">IF(T101="",Q101,T101)</f>
        <v>0.000208159679859516</v>
      </c>
      <c r="Y101" s="20" t="str">
        <f aca="false">IF(S101="","",IF(O101&lt;S101,"Calc STRICTER (lower)","Calc more lenient (higher)"))</f>
        <v/>
      </c>
      <c r="Z101" s="20" t="str">
        <f aca="false">IF(B101="XL","Hemizygous male AF (grpmax)","grpmax FAF95; check SAS, IndiGen, GenomeIndia")</f>
        <v>grpmax FAF95; check SAS, IndiGen, GenomeIndia</v>
      </c>
      <c r="AA101" s="20"/>
      <c r="AB101" s="20"/>
    </row>
    <row r="102" customFormat="false" ht="15" hidden="false" customHeight="false" outlineLevel="0" collapsed="false">
      <c r="A102" s="19" t="s">
        <v>241</v>
      </c>
      <c r="B102" s="20" t="s">
        <v>96</v>
      </c>
      <c r="C102" s="20" t="s">
        <v>105</v>
      </c>
      <c r="D102" s="21" t="n">
        <f aca="false">SUMIF(Indian_Gene_Shares!$B$5:$B$47,A102,Indian_Gene_Shares!$G$5:$G$47)</f>
        <v>0.0018076795212766</v>
      </c>
      <c r="E102" s="9" t="n">
        <f aca="false">IFERROR(INDEX(ARIDE_Cohort!$C$6:$C$207,MATCH(A102,ARIDE_Cohort!$A$6:$A$207,0)),0)</f>
        <v>0</v>
      </c>
      <c r="F102" s="22" t="n">
        <f aca="false">MAX(Inputs!$B$24,IF(AND(Inputs!$B$29="ARIDE cohort",ARIDE_Cohort!$B$3&gt;=Inputs!$B$30),E102,D102))</f>
        <v>0.01</v>
      </c>
      <c r="G102" s="20" t="str">
        <f aca="false">IF(AND(Inputs!$B$29="ARIDE cohort",ARIDE_Cohort!$B$3&gt;=Inputs!$B$30),IF(E102&gt;Inputs!$B$24,"ARIDE cohort","Floor (ARIDE share below floor)"),IF(D102&gt;Inputs!$B$24,"Indian literature",IF(D102&gt;0,"Floor (Indian share below floor)","Floor (no Indian data)")))</f>
        <v>Floor (Indian share below floor)</v>
      </c>
      <c r="H102" s="23" t="n">
        <f aca="false">IF(B102="AR",Inputs!$B$14,IF(B102="AD",Inputs!$B$15,Inputs!$B$16))</f>
        <v>1</v>
      </c>
      <c r="I102" s="12"/>
      <c r="J102" s="24" t="n">
        <f aca="false">IF(I102="",H102,I102)</f>
        <v>1</v>
      </c>
      <c r="K102" s="12"/>
      <c r="L102" s="24" t="n">
        <f aca="false">IF(K102="",Inputs!$B$20,K102)</f>
        <v>0.5</v>
      </c>
      <c r="M102" s="25" t="n">
        <f aca="false">IF(B102="AR",SQRT(Inputs!$B$9*F102/J102),IF(B102="AD",Inputs!$B$9*F102/(2*J102),2*Inputs!$B$9*F102/J102))</f>
        <v>0.00470090743184764</v>
      </c>
      <c r="N102" s="25" t="n">
        <f aca="false">IF(B102="AR",IF(Inputs!$B$25=0,SQRT(Inputs!$B$8*F102/J102),(-Inputs!$B$25+SQRT(Inputs!$B$25^2+4*(1-Inputs!$B$25)*Inputs!$B$8*F102/J102))/(2*(1-Inputs!$B$25))),IF(B102="AD",Inputs!$B$8*F102/(2*J102),2*Inputs!$B$8*F102/J102))</f>
        <v>0.00416319359719033</v>
      </c>
      <c r="O102" s="25" t="n">
        <f aca="false">MIN(Inputs!$B$26,M102*L102)</f>
        <v>0.00235045371592382</v>
      </c>
      <c r="P102" s="25" t="n">
        <f aca="false">MIN(Inputs!$B$26,O102*Inputs!$B$19)</f>
        <v>0.0235045371592382</v>
      </c>
      <c r="Q102" s="25" t="n">
        <f aca="false">MIN(O102,N102*Inputs!$B$21)</f>
        <v>0.000208159679859516</v>
      </c>
      <c r="R102" s="26"/>
      <c r="S102" s="26"/>
      <c r="T102" s="26"/>
      <c r="U102" s="20" t="str">
        <f aca="false">IF(COUNT(R102:T102)&gt;0,"Published spec (+calc where blank)","Calculated (this workbook)")</f>
        <v>Calculated (this workbook)</v>
      </c>
      <c r="V102" s="28" t="n">
        <f aca="false">IF(R102="",MAX(P102,W102),R102)</f>
        <v>0.0235045371592382</v>
      </c>
      <c r="W102" s="28" t="n">
        <f aca="false">IF(S102="",O102,S102)</f>
        <v>0.00235045371592382</v>
      </c>
      <c r="X102" s="28" t="n">
        <f aca="false">IF(T102="",Q102,T102)</f>
        <v>0.000208159679859516</v>
      </c>
      <c r="Y102" s="20" t="str">
        <f aca="false">IF(S102="","",IF(O102&lt;S102,"Calc STRICTER (lower)","Calc more lenient (higher)"))</f>
        <v/>
      </c>
      <c r="Z102" s="20" t="str">
        <f aca="false">IF(B102="XL","Hemizygous male AF (grpmax)","grpmax FAF95; check SAS, IndiGen, GenomeIndia")</f>
        <v>grpmax FAF95; check SAS, IndiGen, GenomeIndia</v>
      </c>
      <c r="AA102" s="20"/>
      <c r="AB102" s="20"/>
    </row>
    <row r="103" customFormat="false" ht="15" hidden="false" customHeight="false" outlineLevel="0" collapsed="false">
      <c r="A103" s="19" t="s">
        <v>241</v>
      </c>
      <c r="B103" s="20" t="s">
        <v>109</v>
      </c>
      <c r="C103" s="20" t="s">
        <v>240</v>
      </c>
      <c r="D103" s="21" t="n">
        <f aca="false">SUMIF(Indian_Gene_Shares!$B$5:$B$47,A103,Indian_Gene_Shares!$G$5:$G$47)</f>
        <v>0.0018076795212766</v>
      </c>
      <c r="E103" s="9" t="n">
        <f aca="false">IFERROR(INDEX(ARIDE_Cohort!$C$6:$C$207,MATCH(A103,ARIDE_Cohort!$A$6:$A$207,0)),0)</f>
        <v>0</v>
      </c>
      <c r="F103" s="22" t="n">
        <f aca="false">MAX(Inputs!$B$24,IF(AND(Inputs!$B$29="ARIDE cohort",ARIDE_Cohort!$B$3&gt;=Inputs!$B$30),E103,D103))</f>
        <v>0.01</v>
      </c>
      <c r="G103" s="20" t="str">
        <f aca="false">IF(AND(Inputs!$B$29="ARIDE cohort",ARIDE_Cohort!$B$3&gt;=Inputs!$B$30),IF(E103&gt;Inputs!$B$24,"ARIDE cohort","Floor (ARIDE share below floor)"),IF(D103&gt;Inputs!$B$24,"Indian literature",IF(D103&gt;0,"Floor (Indian share below floor)","Floor (no Indian data)")))</f>
        <v>Floor (Indian share below floor)</v>
      </c>
      <c r="H103" s="23" t="n">
        <f aca="false">IF(B103="AR",Inputs!$B$14,IF(B103="AD",Inputs!$B$15,Inputs!$B$16))</f>
        <v>0.5</v>
      </c>
      <c r="I103" s="12"/>
      <c r="J103" s="24" t="n">
        <f aca="false">IF(I103="",H103,I103)</f>
        <v>0.5</v>
      </c>
      <c r="K103" s="12"/>
      <c r="L103" s="24" t="n">
        <f aca="false">IF(K103="",Inputs!$B$20,K103)</f>
        <v>0.5</v>
      </c>
      <c r="M103" s="25" t="n">
        <f aca="false">IF(B103="AR",SQRT(Inputs!$B$9*F103/J103),IF(B103="AD",Inputs!$B$9*F103/(2*J103),2*Inputs!$B$9*F103/J103))</f>
        <v>2.20985306828003E-005</v>
      </c>
      <c r="N103" s="25" t="n">
        <f aca="false">IF(B103="AR",IF(Inputs!$B$25=0,SQRT(Inputs!$B$8*F103/J103),(-Inputs!$B$25+SQRT(Inputs!$B$25^2+4*(1-Inputs!$B$25)*Inputs!$B$8*F103/J103))/(2*(1-Inputs!$B$25))),IF(B103="AD",Inputs!$B$8*F103/(2*J103),2*Inputs!$B$8*F103/J103))</f>
        <v>1.73321809276865E-005</v>
      </c>
      <c r="O103" s="25" t="n">
        <f aca="false">MIN(Inputs!$B$26,M103*L103)</f>
        <v>1.10492653414002E-005</v>
      </c>
      <c r="P103" s="25" t="n">
        <f aca="false">MIN(Inputs!$B$26,O103*Inputs!$B$19)</f>
        <v>0.000110492653414002</v>
      </c>
      <c r="Q103" s="25" t="n">
        <f aca="false">MIN(O103,N103*Inputs!$B$21)</f>
        <v>8.66609046384327E-007</v>
      </c>
      <c r="R103" s="26"/>
      <c r="S103" s="26"/>
      <c r="T103" s="26"/>
      <c r="U103" s="20" t="str">
        <f aca="false">IF(COUNT(R103:T103)&gt;0,"Published spec (+calc where blank)","Calculated (this workbook)")</f>
        <v>Calculated (this workbook)</v>
      </c>
      <c r="V103" s="28" t="n">
        <f aca="false">IF(R103="",MAX(P103,W103),R103)</f>
        <v>0.000110492653414002</v>
      </c>
      <c r="W103" s="28" t="n">
        <f aca="false">IF(S103="",O103,S103)</f>
        <v>1.10492653414002E-005</v>
      </c>
      <c r="X103" s="28" t="n">
        <f aca="false">IF(T103="",Q103,T103)</f>
        <v>8.66609046384327E-007</v>
      </c>
      <c r="Y103" s="20" t="str">
        <f aca="false">IF(S103="","",IF(O103&lt;S103,"Calc STRICTER (lower)","Calc more lenient (higher)"))</f>
        <v/>
      </c>
      <c r="Z103" s="20" t="str">
        <f aca="false">IF(B103="XL","Hemizygous male AF (grpmax)","grpmax FAF95; check SAS, IndiGen, GenomeIndia")</f>
        <v>grpmax FAF95; check SAS, IndiGen, GenomeIndia</v>
      </c>
      <c r="AA103" s="20"/>
      <c r="AB103" s="20"/>
    </row>
    <row r="104" customFormat="false" ht="15" hidden="false" customHeight="false" outlineLevel="0" collapsed="false">
      <c r="A104" s="19" t="s">
        <v>242</v>
      </c>
      <c r="B104" s="20" t="s">
        <v>96</v>
      </c>
      <c r="C104" s="20" t="s">
        <v>112</v>
      </c>
      <c r="D104" s="21" t="n">
        <f aca="false">SUMIF(Indian_Gene_Shares!$B$5:$B$47,A104,Indian_Gene_Shares!$G$5:$G$47)</f>
        <v>0</v>
      </c>
      <c r="E104" s="9" t="n">
        <f aca="false">IFERROR(INDEX(ARIDE_Cohort!$C$6:$C$207,MATCH(A104,ARIDE_Cohort!$A$6:$A$207,0)),0)</f>
        <v>0</v>
      </c>
      <c r="F104" s="22" t="n">
        <f aca="false">MAX(Inputs!$B$24,IF(AND(Inputs!$B$29="ARIDE cohort",ARIDE_Cohort!$B$3&gt;=Inputs!$B$30),E104,D104))</f>
        <v>0.01</v>
      </c>
      <c r="G104" s="20" t="str">
        <f aca="false">IF(AND(Inputs!$B$29="ARIDE cohort",ARIDE_Cohort!$B$3&gt;=Inputs!$B$30),IF(E104&gt;Inputs!$B$24,"ARIDE cohort","Floor (ARIDE share below floor)"),IF(D104&gt;Inputs!$B$24,"Indian literature",IF(D104&gt;0,"Floor (Indian share below floor)","Floor (no Indian data)")))</f>
        <v>Floor (no Indian data)</v>
      </c>
      <c r="H104" s="23" t="n">
        <f aca="false">IF(B104="AR",Inputs!$B$14,IF(B104="AD",Inputs!$B$15,Inputs!$B$16))</f>
        <v>1</v>
      </c>
      <c r="I104" s="12"/>
      <c r="J104" s="24" t="n">
        <f aca="false">IF(I104="",H104,I104)</f>
        <v>1</v>
      </c>
      <c r="K104" s="12"/>
      <c r="L104" s="24" t="n">
        <f aca="false">IF(K104="",Inputs!$B$20,K104)</f>
        <v>0.5</v>
      </c>
      <c r="M104" s="25" t="n">
        <f aca="false">IF(B104="AR",SQRT(Inputs!$B$9*F104/J104),IF(B104="AD",Inputs!$B$9*F104/(2*J104),2*Inputs!$B$9*F104/J104))</f>
        <v>0.00470090743184764</v>
      </c>
      <c r="N104" s="25" t="n">
        <f aca="false">IF(B104="AR",IF(Inputs!$B$25=0,SQRT(Inputs!$B$8*F104/J104),(-Inputs!$B$25+SQRT(Inputs!$B$25^2+4*(1-Inputs!$B$25)*Inputs!$B$8*F104/J104))/(2*(1-Inputs!$B$25))),IF(B104="AD",Inputs!$B$8*F104/(2*J104),2*Inputs!$B$8*F104/J104))</f>
        <v>0.00416319359719033</v>
      </c>
      <c r="O104" s="25" t="n">
        <f aca="false">MIN(Inputs!$B$26,M104*L104)</f>
        <v>0.00235045371592382</v>
      </c>
      <c r="P104" s="25" t="n">
        <f aca="false">MIN(Inputs!$B$26,O104*Inputs!$B$19)</f>
        <v>0.0235045371592382</v>
      </c>
      <c r="Q104" s="25" t="n">
        <f aca="false">MIN(O104,N104*Inputs!$B$21)</f>
        <v>0.000208159679859516</v>
      </c>
      <c r="R104" s="26"/>
      <c r="S104" s="26"/>
      <c r="T104" s="26"/>
      <c r="U104" s="20" t="str">
        <f aca="false">IF(COUNT(R104:T104)&gt;0,"Published spec (+calc where blank)","Calculated (this workbook)")</f>
        <v>Calculated (this workbook)</v>
      </c>
      <c r="V104" s="28" t="n">
        <f aca="false">IF(R104="",MAX(P104,W104),R104)</f>
        <v>0.0235045371592382</v>
      </c>
      <c r="W104" s="28" t="n">
        <f aca="false">IF(S104="",O104,S104)</f>
        <v>0.00235045371592382</v>
      </c>
      <c r="X104" s="28" t="n">
        <f aca="false">IF(T104="",Q104,T104)</f>
        <v>0.000208159679859516</v>
      </c>
      <c r="Y104" s="20" t="str">
        <f aca="false">IF(S104="","",IF(O104&lt;S104,"Calc STRICTER (lower)","Calc more lenient (higher)"))</f>
        <v/>
      </c>
      <c r="Z104" s="20" t="str">
        <f aca="false">IF(B104="XL","Hemizygous male AF (grpmax)","grpmax FAF95; check SAS, IndiGen, GenomeIndia")</f>
        <v>grpmax FAF95; check SAS, IndiGen, GenomeIndia</v>
      </c>
      <c r="AA104" s="20"/>
      <c r="AB104" s="20"/>
    </row>
    <row r="105" customFormat="false" ht="15" hidden="false" customHeight="false" outlineLevel="0" collapsed="false">
      <c r="A105" s="19" t="s">
        <v>243</v>
      </c>
      <c r="B105" s="20" t="s">
        <v>96</v>
      </c>
      <c r="C105" s="20" t="s">
        <v>244</v>
      </c>
      <c r="D105" s="21" t="n">
        <f aca="false">SUMIF(Indian_Gene_Shares!$B$5:$B$47,A105,Indian_Gene_Shares!$G$5:$G$47)</f>
        <v>0.000381838905775076</v>
      </c>
      <c r="E105" s="9" t="n">
        <f aca="false">IFERROR(INDEX(ARIDE_Cohort!$C$6:$C$207,MATCH(A105,ARIDE_Cohort!$A$6:$A$207,0)),0)</f>
        <v>0</v>
      </c>
      <c r="F105" s="22" t="n">
        <f aca="false">MAX(Inputs!$B$24,IF(AND(Inputs!$B$29="ARIDE cohort",ARIDE_Cohort!$B$3&gt;=Inputs!$B$30),E105,D105))</f>
        <v>0.01</v>
      </c>
      <c r="G105" s="20" t="str">
        <f aca="false">IF(AND(Inputs!$B$29="ARIDE cohort",ARIDE_Cohort!$B$3&gt;=Inputs!$B$30),IF(E105&gt;Inputs!$B$24,"ARIDE cohort","Floor (ARIDE share below floor)"),IF(D105&gt;Inputs!$B$24,"Indian literature",IF(D105&gt;0,"Floor (Indian share below floor)","Floor (no Indian data)")))</f>
        <v>Floor (Indian share below floor)</v>
      </c>
      <c r="H105" s="23" t="n">
        <f aca="false">IF(B105="AR",Inputs!$B$14,IF(B105="AD",Inputs!$B$15,Inputs!$B$16))</f>
        <v>1</v>
      </c>
      <c r="I105" s="12"/>
      <c r="J105" s="24" t="n">
        <f aca="false">IF(I105="",H105,I105)</f>
        <v>1</v>
      </c>
      <c r="K105" s="12"/>
      <c r="L105" s="24" t="n">
        <f aca="false">IF(K105="",Inputs!$B$20,K105)</f>
        <v>0.5</v>
      </c>
      <c r="M105" s="25" t="n">
        <f aca="false">IF(B105="AR",SQRT(Inputs!$B$9*F105/J105),IF(B105="AD",Inputs!$B$9*F105/(2*J105),2*Inputs!$B$9*F105/J105))</f>
        <v>0.00470090743184764</v>
      </c>
      <c r="N105" s="25" t="n">
        <f aca="false">IF(B105="AR",IF(Inputs!$B$25=0,SQRT(Inputs!$B$8*F105/J105),(-Inputs!$B$25+SQRT(Inputs!$B$25^2+4*(1-Inputs!$B$25)*Inputs!$B$8*F105/J105))/(2*(1-Inputs!$B$25))),IF(B105="AD",Inputs!$B$8*F105/(2*J105),2*Inputs!$B$8*F105/J105))</f>
        <v>0.00416319359719033</v>
      </c>
      <c r="O105" s="25" t="n">
        <f aca="false">MIN(Inputs!$B$26,M105*L105)</f>
        <v>0.00235045371592382</v>
      </c>
      <c r="P105" s="25" t="n">
        <f aca="false">MIN(Inputs!$B$26,O105*Inputs!$B$19)</f>
        <v>0.0235045371592382</v>
      </c>
      <c r="Q105" s="25" t="n">
        <f aca="false">MIN(O105,N105*Inputs!$B$21)</f>
        <v>0.000208159679859516</v>
      </c>
      <c r="R105" s="26"/>
      <c r="S105" s="26"/>
      <c r="T105" s="26"/>
      <c r="U105" s="20" t="str">
        <f aca="false">IF(COUNT(R105:T105)&gt;0,"Published spec (+calc where blank)","Calculated (this workbook)")</f>
        <v>Calculated (this workbook)</v>
      </c>
      <c r="V105" s="28" t="n">
        <f aca="false">IF(R105="",MAX(P105,W105),R105)</f>
        <v>0.0235045371592382</v>
      </c>
      <c r="W105" s="28" t="n">
        <f aca="false">IF(S105="",O105,S105)</f>
        <v>0.00235045371592382</v>
      </c>
      <c r="X105" s="28" t="n">
        <f aca="false">IF(T105="",Q105,T105)</f>
        <v>0.000208159679859516</v>
      </c>
      <c r="Y105" s="20" t="str">
        <f aca="false">IF(S105="","",IF(O105&lt;S105,"Calc STRICTER (lower)","Calc more lenient (higher)"))</f>
        <v/>
      </c>
      <c r="Z105" s="20" t="str">
        <f aca="false">IF(B105="XL","Hemizygous male AF (grpmax)","grpmax FAF95; check SAS, IndiGen, GenomeIndia")</f>
        <v>grpmax FAF95; check SAS, IndiGen, GenomeIndia</v>
      </c>
      <c r="AA105" s="20"/>
      <c r="AB105" s="20"/>
    </row>
    <row r="106" customFormat="false" ht="15" hidden="false" customHeight="false" outlineLevel="0" collapsed="false">
      <c r="A106" s="19" t="s">
        <v>245</v>
      </c>
      <c r="B106" s="20" t="s">
        <v>96</v>
      </c>
      <c r="C106" s="20" t="s">
        <v>115</v>
      </c>
      <c r="D106" s="21" t="n">
        <f aca="false">SUMIF(Indian_Gene_Shares!$B$5:$B$47,A106,Indian_Gene_Shares!$G$5:$G$47)</f>
        <v>0</v>
      </c>
      <c r="E106" s="9" t="n">
        <f aca="false">IFERROR(INDEX(ARIDE_Cohort!$C$6:$C$207,MATCH(A106,ARIDE_Cohort!$A$6:$A$207,0)),0)</f>
        <v>0</v>
      </c>
      <c r="F106" s="22" t="n">
        <f aca="false">MAX(Inputs!$B$24,IF(AND(Inputs!$B$29="ARIDE cohort",ARIDE_Cohort!$B$3&gt;=Inputs!$B$30),E106,D106))</f>
        <v>0.01</v>
      </c>
      <c r="G106" s="20" t="str">
        <f aca="false">IF(AND(Inputs!$B$29="ARIDE cohort",ARIDE_Cohort!$B$3&gt;=Inputs!$B$30),IF(E106&gt;Inputs!$B$24,"ARIDE cohort","Floor (ARIDE share below floor)"),IF(D106&gt;Inputs!$B$24,"Indian literature",IF(D106&gt;0,"Floor (Indian share below floor)","Floor (no Indian data)")))</f>
        <v>Floor (no Indian data)</v>
      </c>
      <c r="H106" s="23" t="n">
        <f aca="false">IF(B106="AR",Inputs!$B$14,IF(B106="AD",Inputs!$B$15,Inputs!$B$16))</f>
        <v>1</v>
      </c>
      <c r="I106" s="12"/>
      <c r="J106" s="24" t="n">
        <f aca="false">IF(I106="",H106,I106)</f>
        <v>1</v>
      </c>
      <c r="K106" s="12"/>
      <c r="L106" s="24" t="n">
        <f aca="false">IF(K106="",Inputs!$B$20,K106)</f>
        <v>0.5</v>
      </c>
      <c r="M106" s="25" t="n">
        <f aca="false">IF(B106="AR",SQRT(Inputs!$B$9*F106/J106),IF(B106="AD",Inputs!$B$9*F106/(2*J106),2*Inputs!$B$9*F106/J106))</f>
        <v>0.00470090743184764</v>
      </c>
      <c r="N106" s="25" t="n">
        <f aca="false">IF(B106="AR",IF(Inputs!$B$25=0,SQRT(Inputs!$B$8*F106/J106),(-Inputs!$B$25+SQRT(Inputs!$B$25^2+4*(1-Inputs!$B$25)*Inputs!$B$8*F106/J106))/(2*(1-Inputs!$B$25))),IF(B106="AD",Inputs!$B$8*F106/(2*J106),2*Inputs!$B$8*F106/J106))</f>
        <v>0.00416319359719033</v>
      </c>
      <c r="O106" s="25" t="n">
        <f aca="false">MIN(Inputs!$B$26,M106*L106)</f>
        <v>0.00235045371592382</v>
      </c>
      <c r="P106" s="25" t="n">
        <f aca="false">MIN(Inputs!$B$26,O106*Inputs!$B$19)</f>
        <v>0.0235045371592382</v>
      </c>
      <c r="Q106" s="25" t="n">
        <f aca="false">MIN(O106,N106*Inputs!$B$21)</f>
        <v>0.000208159679859516</v>
      </c>
      <c r="R106" s="26"/>
      <c r="S106" s="26"/>
      <c r="T106" s="26"/>
      <c r="U106" s="20" t="str">
        <f aca="false">IF(COUNT(R106:T106)&gt;0,"Published spec (+calc where blank)","Calculated (this workbook)")</f>
        <v>Calculated (this workbook)</v>
      </c>
      <c r="V106" s="28" t="n">
        <f aca="false">IF(R106="",MAX(P106,W106),R106)</f>
        <v>0.0235045371592382</v>
      </c>
      <c r="W106" s="28" t="n">
        <f aca="false">IF(S106="",O106,S106)</f>
        <v>0.00235045371592382</v>
      </c>
      <c r="X106" s="28" t="n">
        <f aca="false">IF(T106="",Q106,T106)</f>
        <v>0.000208159679859516</v>
      </c>
      <c r="Y106" s="20" t="str">
        <f aca="false">IF(S106="","",IF(O106&lt;S106,"Calc STRICTER (lower)","Calc more lenient (higher)"))</f>
        <v/>
      </c>
      <c r="Z106" s="20" t="str">
        <f aca="false">IF(B106="XL","Hemizygous male AF (grpmax)","grpmax FAF95; check SAS, IndiGen, GenomeIndia")</f>
        <v>grpmax FAF95; check SAS, IndiGen, GenomeIndia</v>
      </c>
      <c r="AA106" s="20"/>
      <c r="AB106" s="20"/>
    </row>
    <row r="107" customFormat="false" ht="15" hidden="false" customHeight="false" outlineLevel="0" collapsed="false">
      <c r="A107" s="19" t="s">
        <v>246</v>
      </c>
      <c r="B107" s="20" t="s">
        <v>96</v>
      </c>
      <c r="C107" s="20" t="s">
        <v>247</v>
      </c>
      <c r="D107" s="21" t="n">
        <f aca="false">SUMIF(Indian_Gene_Shares!$B$5:$B$47,A107,Indian_Gene_Shares!$G$5:$G$47)</f>
        <v>0</v>
      </c>
      <c r="E107" s="9" t="n">
        <f aca="false">IFERROR(INDEX(ARIDE_Cohort!$C$6:$C$207,MATCH(A107,ARIDE_Cohort!$A$6:$A$207,0)),0)</f>
        <v>0</v>
      </c>
      <c r="F107" s="22" t="n">
        <f aca="false">MAX(Inputs!$B$24,IF(AND(Inputs!$B$29="ARIDE cohort",ARIDE_Cohort!$B$3&gt;=Inputs!$B$30),E107,D107))</f>
        <v>0.01</v>
      </c>
      <c r="G107" s="20" t="str">
        <f aca="false">IF(AND(Inputs!$B$29="ARIDE cohort",ARIDE_Cohort!$B$3&gt;=Inputs!$B$30),IF(E107&gt;Inputs!$B$24,"ARIDE cohort","Floor (ARIDE share below floor)"),IF(D107&gt;Inputs!$B$24,"Indian literature",IF(D107&gt;0,"Floor (Indian share below floor)","Floor (no Indian data)")))</f>
        <v>Floor (no Indian data)</v>
      </c>
      <c r="H107" s="23" t="n">
        <f aca="false">IF(B107="AR",Inputs!$B$14,IF(B107="AD",Inputs!$B$15,Inputs!$B$16))</f>
        <v>1</v>
      </c>
      <c r="I107" s="12"/>
      <c r="J107" s="24" t="n">
        <f aca="false">IF(I107="",H107,I107)</f>
        <v>1</v>
      </c>
      <c r="K107" s="12"/>
      <c r="L107" s="24" t="n">
        <f aca="false">IF(K107="",Inputs!$B$20,K107)</f>
        <v>0.5</v>
      </c>
      <c r="M107" s="25" t="n">
        <f aca="false">IF(B107="AR",SQRT(Inputs!$B$9*F107/J107),IF(B107="AD",Inputs!$B$9*F107/(2*J107),2*Inputs!$B$9*F107/J107))</f>
        <v>0.00470090743184764</v>
      </c>
      <c r="N107" s="25" t="n">
        <f aca="false">IF(B107="AR",IF(Inputs!$B$25=0,SQRT(Inputs!$B$8*F107/J107),(-Inputs!$B$25+SQRT(Inputs!$B$25^2+4*(1-Inputs!$B$25)*Inputs!$B$8*F107/J107))/(2*(1-Inputs!$B$25))),IF(B107="AD",Inputs!$B$8*F107/(2*J107),2*Inputs!$B$8*F107/J107))</f>
        <v>0.00416319359719033</v>
      </c>
      <c r="O107" s="25" t="n">
        <f aca="false">MIN(Inputs!$B$26,M107*L107)</f>
        <v>0.00235045371592382</v>
      </c>
      <c r="P107" s="25" t="n">
        <f aca="false">MIN(Inputs!$B$26,O107*Inputs!$B$19)</f>
        <v>0.0235045371592382</v>
      </c>
      <c r="Q107" s="25" t="n">
        <f aca="false">MIN(O107,N107*Inputs!$B$21)</f>
        <v>0.000208159679859516</v>
      </c>
      <c r="R107" s="26"/>
      <c r="S107" s="26"/>
      <c r="T107" s="26"/>
      <c r="U107" s="20" t="str">
        <f aca="false">IF(COUNT(R107:T107)&gt;0,"Published spec (+calc where blank)","Calculated (this workbook)")</f>
        <v>Calculated (this workbook)</v>
      </c>
      <c r="V107" s="28" t="n">
        <f aca="false">IF(R107="",MAX(P107,W107),R107)</f>
        <v>0.0235045371592382</v>
      </c>
      <c r="W107" s="28" t="n">
        <f aca="false">IF(S107="",O107,S107)</f>
        <v>0.00235045371592382</v>
      </c>
      <c r="X107" s="28" t="n">
        <f aca="false">IF(T107="",Q107,T107)</f>
        <v>0.000208159679859516</v>
      </c>
      <c r="Y107" s="20" t="str">
        <f aca="false">IF(S107="","",IF(O107&lt;S107,"Calc STRICTER (lower)","Calc more lenient (higher)"))</f>
        <v/>
      </c>
      <c r="Z107" s="20" t="str">
        <f aca="false">IF(B107="XL","Hemizygous male AF (grpmax)","grpmax FAF95; check SAS, IndiGen, GenomeIndia")</f>
        <v>grpmax FAF95; check SAS, IndiGen, GenomeIndia</v>
      </c>
      <c r="AA107" s="20"/>
      <c r="AB107" s="20"/>
    </row>
    <row r="108" customFormat="false" ht="15" hidden="false" customHeight="false" outlineLevel="0" collapsed="false">
      <c r="A108" s="19" t="s">
        <v>248</v>
      </c>
      <c r="B108" s="20" t="s">
        <v>96</v>
      </c>
      <c r="C108" s="20" t="s">
        <v>105</v>
      </c>
      <c r="D108" s="21" t="n">
        <f aca="false">SUMIF(Indian_Gene_Shares!$B$5:$B$47,A108,Indian_Gene_Shares!$G$5:$G$47)</f>
        <v>0</v>
      </c>
      <c r="E108" s="9" t="n">
        <f aca="false">IFERROR(INDEX(ARIDE_Cohort!$C$6:$C$207,MATCH(A108,ARIDE_Cohort!$A$6:$A$207,0)),0)</f>
        <v>0</v>
      </c>
      <c r="F108" s="22" t="n">
        <f aca="false">MAX(Inputs!$B$24,IF(AND(Inputs!$B$29="ARIDE cohort",ARIDE_Cohort!$B$3&gt;=Inputs!$B$30),E108,D108))</f>
        <v>0.01</v>
      </c>
      <c r="G108" s="20" t="str">
        <f aca="false">IF(AND(Inputs!$B$29="ARIDE cohort",ARIDE_Cohort!$B$3&gt;=Inputs!$B$30),IF(E108&gt;Inputs!$B$24,"ARIDE cohort","Floor (ARIDE share below floor)"),IF(D108&gt;Inputs!$B$24,"Indian literature",IF(D108&gt;0,"Floor (Indian share below floor)","Floor (no Indian data)")))</f>
        <v>Floor (no Indian data)</v>
      </c>
      <c r="H108" s="23" t="n">
        <f aca="false">IF(B108="AR",Inputs!$B$14,IF(B108="AD",Inputs!$B$15,Inputs!$B$16))</f>
        <v>1</v>
      </c>
      <c r="I108" s="12"/>
      <c r="J108" s="24" t="n">
        <f aca="false">IF(I108="",H108,I108)</f>
        <v>1</v>
      </c>
      <c r="K108" s="12"/>
      <c r="L108" s="24" t="n">
        <f aca="false">IF(K108="",Inputs!$B$20,K108)</f>
        <v>0.5</v>
      </c>
      <c r="M108" s="25" t="n">
        <f aca="false">IF(B108="AR",SQRT(Inputs!$B$9*F108/J108),IF(B108="AD",Inputs!$B$9*F108/(2*J108),2*Inputs!$B$9*F108/J108))</f>
        <v>0.00470090743184764</v>
      </c>
      <c r="N108" s="25" t="n">
        <f aca="false">IF(B108="AR",IF(Inputs!$B$25=0,SQRT(Inputs!$B$8*F108/J108),(-Inputs!$B$25+SQRT(Inputs!$B$25^2+4*(1-Inputs!$B$25)*Inputs!$B$8*F108/J108))/(2*(1-Inputs!$B$25))),IF(B108="AD",Inputs!$B$8*F108/(2*J108),2*Inputs!$B$8*F108/J108))</f>
        <v>0.00416319359719033</v>
      </c>
      <c r="O108" s="25" t="n">
        <f aca="false">MIN(Inputs!$B$26,M108*L108)</f>
        <v>0.00235045371592382</v>
      </c>
      <c r="P108" s="25" t="n">
        <f aca="false">MIN(Inputs!$B$26,O108*Inputs!$B$19)</f>
        <v>0.0235045371592382</v>
      </c>
      <c r="Q108" s="25" t="n">
        <f aca="false">MIN(O108,N108*Inputs!$B$21)</f>
        <v>0.000208159679859516</v>
      </c>
      <c r="R108" s="26"/>
      <c r="S108" s="26"/>
      <c r="T108" s="26"/>
      <c r="U108" s="20" t="str">
        <f aca="false">IF(COUNT(R108:T108)&gt;0,"Published spec (+calc where blank)","Calculated (this workbook)")</f>
        <v>Calculated (this workbook)</v>
      </c>
      <c r="V108" s="28" t="n">
        <f aca="false">IF(R108="",MAX(P108,W108),R108)</f>
        <v>0.0235045371592382</v>
      </c>
      <c r="W108" s="28" t="n">
        <f aca="false">IF(S108="",O108,S108)</f>
        <v>0.00235045371592382</v>
      </c>
      <c r="X108" s="28" t="n">
        <f aca="false">IF(T108="",Q108,T108)</f>
        <v>0.000208159679859516</v>
      </c>
      <c r="Y108" s="20" t="str">
        <f aca="false">IF(S108="","",IF(O108&lt;S108,"Calc STRICTER (lower)","Calc more lenient (higher)"))</f>
        <v/>
      </c>
      <c r="Z108" s="20" t="str">
        <f aca="false">IF(B108="XL","Hemizygous male AF (grpmax)","grpmax FAF95; check SAS, IndiGen, GenomeIndia")</f>
        <v>grpmax FAF95; check SAS, IndiGen, GenomeIndia</v>
      </c>
      <c r="AA108" s="20"/>
      <c r="AB108" s="20"/>
    </row>
    <row r="109" customFormat="false" ht="15" hidden="false" customHeight="false" outlineLevel="0" collapsed="false">
      <c r="A109" s="19" t="s">
        <v>249</v>
      </c>
      <c r="B109" s="20" t="s">
        <v>109</v>
      </c>
      <c r="C109" s="20" t="s">
        <v>211</v>
      </c>
      <c r="D109" s="21" t="n">
        <f aca="false">SUMIF(Indian_Gene_Shares!$B$5:$B$47,A109,Indian_Gene_Shares!$G$5:$G$47)</f>
        <v>0</v>
      </c>
      <c r="E109" s="9" t="n">
        <f aca="false">IFERROR(INDEX(ARIDE_Cohort!$C$6:$C$207,MATCH(A109,ARIDE_Cohort!$A$6:$A$207,0)),0)</f>
        <v>0</v>
      </c>
      <c r="F109" s="22" t="n">
        <f aca="false">MAX(Inputs!$B$24,IF(AND(Inputs!$B$29="ARIDE cohort",ARIDE_Cohort!$B$3&gt;=Inputs!$B$30),E109,D109))</f>
        <v>0.01</v>
      </c>
      <c r="G109" s="20" t="str">
        <f aca="false">IF(AND(Inputs!$B$29="ARIDE cohort",ARIDE_Cohort!$B$3&gt;=Inputs!$B$30),IF(E109&gt;Inputs!$B$24,"ARIDE cohort","Floor (ARIDE share below floor)"),IF(D109&gt;Inputs!$B$24,"Indian literature",IF(D109&gt;0,"Floor (Indian share below floor)","Floor (no Indian data)")))</f>
        <v>Floor (no Indian data)</v>
      </c>
      <c r="H109" s="23" t="n">
        <f aca="false">IF(B109="AR",Inputs!$B$14,IF(B109="AD",Inputs!$B$15,Inputs!$B$16))</f>
        <v>0.5</v>
      </c>
      <c r="I109" s="12"/>
      <c r="J109" s="24" t="n">
        <f aca="false">IF(I109="",H109,I109)</f>
        <v>0.5</v>
      </c>
      <c r="K109" s="12"/>
      <c r="L109" s="24" t="n">
        <f aca="false">IF(K109="",Inputs!$B$20,K109)</f>
        <v>0.5</v>
      </c>
      <c r="M109" s="25" t="n">
        <f aca="false">IF(B109="AR",SQRT(Inputs!$B$9*F109/J109),IF(B109="AD",Inputs!$B$9*F109/(2*J109),2*Inputs!$B$9*F109/J109))</f>
        <v>2.20985306828003E-005</v>
      </c>
      <c r="N109" s="25" t="n">
        <f aca="false">IF(B109="AR",IF(Inputs!$B$25=0,SQRT(Inputs!$B$8*F109/J109),(-Inputs!$B$25+SQRT(Inputs!$B$25^2+4*(1-Inputs!$B$25)*Inputs!$B$8*F109/J109))/(2*(1-Inputs!$B$25))),IF(B109="AD",Inputs!$B$8*F109/(2*J109),2*Inputs!$B$8*F109/J109))</f>
        <v>1.73321809276865E-005</v>
      </c>
      <c r="O109" s="25" t="n">
        <f aca="false">MIN(Inputs!$B$26,M109*L109)</f>
        <v>1.10492653414002E-005</v>
      </c>
      <c r="P109" s="25" t="n">
        <f aca="false">MIN(Inputs!$B$26,O109*Inputs!$B$19)</f>
        <v>0.000110492653414002</v>
      </c>
      <c r="Q109" s="25" t="n">
        <f aca="false">MIN(O109,N109*Inputs!$B$21)</f>
        <v>8.66609046384327E-007</v>
      </c>
      <c r="R109" s="26"/>
      <c r="S109" s="26"/>
      <c r="T109" s="26"/>
      <c r="U109" s="20" t="str">
        <f aca="false">IF(COUNT(R109:T109)&gt;0,"Published spec (+calc where blank)","Calculated (this workbook)")</f>
        <v>Calculated (this workbook)</v>
      </c>
      <c r="V109" s="28" t="n">
        <f aca="false">IF(R109="",MAX(P109,W109),R109)</f>
        <v>0.000110492653414002</v>
      </c>
      <c r="W109" s="28" t="n">
        <f aca="false">IF(S109="",O109,S109)</f>
        <v>1.10492653414002E-005</v>
      </c>
      <c r="X109" s="28" t="n">
        <f aca="false">IF(T109="",Q109,T109)</f>
        <v>8.66609046384327E-007</v>
      </c>
      <c r="Y109" s="20" t="str">
        <f aca="false">IF(S109="","",IF(O109&lt;S109,"Calc STRICTER (lower)","Calc more lenient (higher)"))</f>
        <v/>
      </c>
      <c r="Z109" s="20" t="str">
        <f aca="false">IF(B109="XL","Hemizygous male AF (grpmax)","grpmax FAF95; check SAS, IndiGen, GenomeIndia")</f>
        <v>grpmax FAF95; check SAS, IndiGen, GenomeIndia</v>
      </c>
      <c r="AA109" s="20"/>
      <c r="AB109" s="20"/>
    </row>
    <row r="110" customFormat="false" ht="15" hidden="false" customHeight="false" outlineLevel="0" collapsed="false">
      <c r="A110" s="19" t="s">
        <v>250</v>
      </c>
      <c r="B110" s="20" t="s">
        <v>96</v>
      </c>
      <c r="C110" s="20" t="s">
        <v>105</v>
      </c>
      <c r="D110" s="21" t="n">
        <f aca="false">SUMIF(Indian_Gene_Shares!$B$5:$B$47,A110,Indian_Gene_Shares!$G$5:$G$47)</f>
        <v>0</v>
      </c>
      <c r="E110" s="9" t="n">
        <f aca="false">IFERROR(INDEX(ARIDE_Cohort!$C$6:$C$207,MATCH(A110,ARIDE_Cohort!$A$6:$A$207,0)),0)</f>
        <v>0</v>
      </c>
      <c r="F110" s="22" t="n">
        <f aca="false">MAX(Inputs!$B$24,IF(AND(Inputs!$B$29="ARIDE cohort",ARIDE_Cohort!$B$3&gt;=Inputs!$B$30),E110,D110))</f>
        <v>0.01</v>
      </c>
      <c r="G110" s="20" t="str">
        <f aca="false">IF(AND(Inputs!$B$29="ARIDE cohort",ARIDE_Cohort!$B$3&gt;=Inputs!$B$30),IF(E110&gt;Inputs!$B$24,"ARIDE cohort","Floor (ARIDE share below floor)"),IF(D110&gt;Inputs!$B$24,"Indian literature",IF(D110&gt;0,"Floor (Indian share below floor)","Floor (no Indian data)")))</f>
        <v>Floor (no Indian data)</v>
      </c>
      <c r="H110" s="23" t="n">
        <f aca="false">IF(B110="AR",Inputs!$B$14,IF(B110="AD",Inputs!$B$15,Inputs!$B$16))</f>
        <v>1</v>
      </c>
      <c r="I110" s="12"/>
      <c r="J110" s="24" t="n">
        <f aca="false">IF(I110="",H110,I110)</f>
        <v>1</v>
      </c>
      <c r="K110" s="12"/>
      <c r="L110" s="24" t="n">
        <f aca="false">IF(K110="",Inputs!$B$20,K110)</f>
        <v>0.5</v>
      </c>
      <c r="M110" s="25" t="n">
        <f aca="false">IF(B110="AR",SQRT(Inputs!$B$9*F110/J110),IF(B110="AD",Inputs!$B$9*F110/(2*J110),2*Inputs!$B$9*F110/J110))</f>
        <v>0.00470090743184764</v>
      </c>
      <c r="N110" s="25" t="n">
        <f aca="false">IF(B110="AR",IF(Inputs!$B$25=0,SQRT(Inputs!$B$8*F110/J110),(-Inputs!$B$25+SQRT(Inputs!$B$25^2+4*(1-Inputs!$B$25)*Inputs!$B$8*F110/J110))/(2*(1-Inputs!$B$25))),IF(B110="AD",Inputs!$B$8*F110/(2*J110),2*Inputs!$B$8*F110/J110))</f>
        <v>0.00416319359719033</v>
      </c>
      <c r="O110" s="25" t="n">
        <f aca="false">MIN(Inputs!$B$26,M110*L110)</f>
        <v>0.00235045371592382</v>
      </c>
      <c r="P110" s="25" t="n">
        <f aca="false">MIN(Inputs!$B$26,O110*Inputs!$B$19)</f>
        <v>0.0235045371592382</v>
      </c>
      <c r="Q110" s="25" t="n">
        <f aca="false">MIN(O110,N110*Inputs!$B$21)</f>
        <v>0.000208159679859516</v>
      </c>
      <c r="R110" s="26"/>
      <c r="S110" s="26"/>
      <c r="T110" s="26"/>
      <c r="U110" s="20" t="str">
        <f aca="false">IF(COUNT(R110:T110)&gt;0,"Published spec (+calc where blank)","Calculated (this workbook)")</f>
        <v>Calculated (this workbook)</v>
      </c>
      <c r="V110" s="28" t="n">
        <f aca="false">IF(R110="",MAX(P110,W110),R110)</f>
        <v>0.0235045371592382</v>
      </c>
      <c r="W110" s="28" t="n">
        <f aca="false">IF(S110="",O110,S110)</f>
        <v>0.00235045371592382</v>
      </c>
      <c r="X110" s="28" t="n">
        <f aca="false">IF(T110="",Q110,T110)</f>
        <v>0.000208159679859516</v>
      </c>
      <c r="Y110" s="20" t="str">
        <f aca="false">IF(S110="","",IF(O110&lt;S110,"Calc STRICTER (lower)","Calc more lenient (higher)"))</f>
        <v/>
      </c>
      <c r="Z110" s="20" t="str">
        <f aca="false">IF(B110="XL","Hemizygous male AF (grpmax)","grpmax FAF95; check SAS, IndiGen, GenomeIndia")</f>
        <v>grpmax FAF95; check SAS, IndiGen, GenomeIndia</v>
      </c>
      <c r="AA110" s="20"/>
      <c r="AB110" s="20"/>
    </row>
    <row r="111" customFormat="false" ht="15" hidden="false" customHeight="false" outlineLevel="0" collapsed="false">
      <c r="A111" s="19" t="s">
        <v>251</v>
      </c>
      <c r="B111" s="20" t="s">
        <v>109</v>
      </c>
      <c r="C111" s="20" t="s">
        <v>105</v>
      </c>
      <c r="D111" s="21" t="n">
        <f aca="false">SUMIF(Indian_Gene_Shares!$B$5:$B$47,A111,Indian_Gene_Shares!$G$5:$G$47)</f>
        <v>0</v>
      </c>
      <c r="E111" s="9" t="n">
        <f aca="false">IFERROR(INDEX(ARIDE_Cohort!$C$6:$C$207,MATCH(A111,ARIDE_Cohort!$A$6:$A$207,0)),0)</f>
        <v>0</v>
      </c>
      <c r="F111" s="22" t="n">
        <f aca="false">MAX(Inputs!$B$24,IF(AND(Inputs!$B$29="ARIDE cohort",ARIDE_Cohort!$B$3&gt;=Inputs!$B$30),E111,D111))</f>
        <v>0.01</v>
      </c>
      <c r="G111" s="20" t="str">
        <f aca="false">IF(AND(Inputs!$B$29="ARIDE cohort",ARIDE_Cohort!$B$3&gt;=Inputs!$B$30),IF(E111&gt;Inputs!$B$24,"ARIDE cohort","Floor (ARIDE share below floor)"),IF(D111&gt;Inputs!$B$24,"Indian literature",IF(D111&gt;0,"Floor (Indian share below floor)","Floor (no Indian data)")))</f>
        <v>Floor (no Indian data)</v>
      </c>
      <c r="H111" s="23" t="n">
        <f aca="false">IF(B111="AR",Inputs!$B$14,IF(B111="AD",Inputs!$B$15,Inputs!$B$16))</f>
        <v>0.5</v>
      </c>
      <c r="I111" s="12"/>
      <c r="J111" s="24" t="n">
        <f aca="false">IF(I111="",H111,I111)</f>
        <v>0.5</v>
      </c>
      <c r="K111" s="12"/>
      <c r="L111" s="24" t="n">
        <f aca="false">IF(K111="",Inputs!$B$20,K111)</f>
        <v>0.5</v>
      </c>
      <c r="M111" s="25" t="n">
        <f aca="false">IF(B111="AR",SQRT(Inputs!$B$9*F111/J111),IF(B111="AD",Inputs!$B$9*F111/(2*J111),2*Inputs!$B$9*F111/J111))</f>
        <v>2.20985306828003E-005</v>
      </c>
      <c r="N111" s="25" t="n">
        <f aca="false">IF(B111="AR",IF(Inputs!$B$25=0,SQRT(Inputs!$B$8*F111/J111),(-Inputs!$B$25+SQRT(Inputs!$B$25^2+4*(1-Inputs!$B$25)*Inputs!$B$8*F111/J111))/(2*(1-Inputs!$B$25))),IF(B111="AD",Inputs!$B$8*F111/(2*J111),2*Inputs!$B$8*F111/J111))</f>
        <v>1.73321809276865E-005</v>
      </c>
      <c r="O111" s="25" t="n">
        <f aca="false">MIN(Inputs!$B$26,M111*L111)</f>
        <v>1.10492653414002E-005</v>
      </c>
      <c r="P111" s="25" t="n">
        <f aca="false">MIN(Inputs!$B$26,O111*Inputs!$B$19)</f>
        <v>0.000110492653414002</v>
      </c>
      <c r="Q111" s="25" t="n">
        <f aca="false">MIN(O111,N111*Inputs!$B$21)</f>
        <v>8.66609046384327E-007</v>
      </c>
      <c r="R111" s="26"/>
      <c r="S111" s="26"/>
      <c r="T111" s="26"/>
      <c r="U111" s="20" t="str">
        <f aca="false">IF(COUNT(R111:T111)&gt;0,"Published spec (+calc where blank)","Calculated (this workbook)")</f>
        <v>Calculated (this workbook)</v>
      </c>
      <c r="V111" s="28" t="n">
        <f aca="false">IF(R111="",MAX(P111,W111),R111)</f>
        <v>0.000110492653414002</v>
      </c>
      <c r="W111" s="28" t="n">
        <f aca="false">IF(S111="",O111,S111)</f>
        <v>1.10492653414002E-005</v>
      </c>
      <c r="X111" s="28" t="n">
        <f aca="false">IF(T111="",Q111,T111)</f>
        <v>8.66609046384327E-007</v>
      </c>
      <c r="Y111" s="20" t="str">
        <f aca="false">IF(S111="","",IF(O111&lt;S111,"Calc STRICTER (lower)","Calc more lenient (higher)"))</f>
        <v/>
      </c>
      <c r="Z111" s="20" t="str">
        <f aca="false">IF(B111="XL","Hemizygous male AF (grpmax)","grpmax FAF95; check SAS, IndiGen, GenomeIndia")</f>
        <v>grpmax FAF95; check SAS, IndiGen, GenomeIndia</v>
      </c>
      <c r="AA111" s="20"/>
      <c r="AB111" s="20"/>
    </row>
    <row r="112" customFormat="false" ht="15" hidden="false" customHeight="false" outlineLevel="0" collapsed="false">
      <c r="A112" s="19" t="s">
        <v>252</v>
      </c>
      <c r="B112" s="20" t="s">
        <v>96</v>
      </c>
      <c r="C112" s="20" t="s">
        <v>115</v>
      </c>
      <c r="D112" s="21" t="n">
        <f aca="false">SUMIF(Indian_Gene_Shares!$B$5:$B$47,A112,Indian_Gene_Shares!$G$5:$G$47)</f>
        <v>0.000381838905775076</v>
      </c>
      <c r="E112" s="9" t="n">
        <f aca="false">IFERROR(INDEX(ARIDE_Cohort!$C$6:$C$207,MATCH(A112,ARIDE_Cohort!$A$6:$A$207,0)),0)</f>
        <v>0</v>
      </c>
      <c r="F112" s="22" t="n">
        <f aca="false">MAX(Inputs!$B$24,IF(AND(Inputs!$B$29="ARIDE cohort",ARIDE_Cohort!$B$3&gt;=Inputs!$B$30),E112,D112))</f>
        <v>0.01</v>
      </c>
      <c r="G112" s="20" t="str">
        <f aca="false">IF(AND(Inputs!$B$29="ARIDE cohort",ARIDE_Cohort!$B$3&gt;=Inputs!$B$30),IF(E112&gt;Inputs!$B$24,"ARIDE cohort","Floor (ARIDE share below floor)"),IF(D112&gt;Inputs!$B$24,"Indian literature",IF(D112&gt;0,"Floor (Indian share below floor)","Floor (no Indian data)")))</f>
        <v>Floor (Indian share below floor)</v>
      </c>
      <c r="H112" s="23" t="n">
        <f aca="false">IF(B112="AR",Inputs!$B$14,IF(B112="AD",Inputs!$B$15,Inputs!$B$16))</f>
        <v>1</v>
      </c>
      <c r="I112" s="12"/>
      <c r="J112" s="24" t="n">
        <f aca="false">IF(I112="",H112,I112)</f>
        <v>1</v>
      </c>
      <c r="K112" s="12"/>
      <c r="L112" s="24" t="n">
        <f aca="false">IF(K112="",Inputs!$B$20,K112)</f>
        <v>0.5</v>
      </c>
      <c r="M112" s="25" t="n">
        <f aca="false">IF(B112="AR",SQRT(Inputs!$B$9*F112/J112),IF(B112="AD",Inputs!$B$9*F112/(2*J112),2*Inputs!$B$9*F112/J112))</f>
        <v>0.00470090743184764</v>
      </c>
      <c r="N112" s="25" t="n">
        <f aca="false">IF(B112="AR",IF(Inputs!$B$25=0,SQRT(Inputs!$B$8*F112/J112),(-Inputs!$B$25+SQRT(Inputs!$B$25^2+4*(1-Inputs!$B$25)*Inputs!$B$8*F112/J112))/(2*(1-Inputs!$B$25))),IF(B112="AD",Inputs!$B$8*F112/(2*J112),2*Inputs!$B$8*F112/J112))</f>
        <v>0.00416319359719033</v>
      </c>
      <c r="O112" s="25" t="n">
        <f aca="false">MIN(Inputs!$B$26,M112*L112)</f>
        <v>0.00235045371592382</v>
      </c>
      <c r="P112" s="25" t="n">
        <f aca="false">MIN(Inputs!$B$26,O112*Inputs!$B$19)</f>
        <v>0.0235045371592382</v>
      </c>
      <c r="Q112" s="25" t="n">
        <f aca="false">MIN(O112,N112*Inputs!$B$21)</f>
        <v>0.000208159679859516</v>
      </c>
      <c r="R112" s="26"/>
      <c r="S112" s="26"/>
      <c r="T112" s="26"/>
      <c r="U112" s="20" t="str">
        <f aca="false">IF(COUNT(R112:T112)&gt;0,"Published spec (+calc where blank)","Calculated (this workbook)")</f>
        <v>Calculated (this workbook)</v>
      </c>
      <c r="V112" s="28" t="n">
        <f aca="false">IF(R112="",MAX(P112,W112),R112)</f>
        <v>0.0235045371592382</v>
      </c>
      <c r="W112" s="28" t="n">
        <f aca="false">IF(S112="",O112,S112)</f>
        <v>0.00235045371592382</v>
      </c>
      <c r="X112" s="28" t="n">
        <f aca="false">IF(T112="",Q112,T112)</f>
        <v>0.000208159679859516</v>
      </c>
      <c r="Y112" s="20" t="str">
        <f aca="false">IF(S112="","",IF(O112&lt;S112,"Calc STRICTER (lower)","Calc more lenient (higher)"))</f>
        <v/>
      </c>
      <c r="Z112" s="20" t="str">
        <f aca="false">IF(B112="XL","Hemizygous male AF (grpmax)","grpmax FAF95; check SAS, IndiGen, GenomeIndia")</f>
        <v>grpmax FAF95; check SAS, IndiGen, GenomeIndia</v>
      </c>
      <c r="AA112" s="20"/>
      <c r="AB112" s="20"/>
    </row>
    <row r="113" customFormat="false" ht="15" hidden="false" customHeight="false" outlineLevel="0" collapsed="false">
      <c r="A113" s="19" t="s">
        <v>253</v>
      </c>
      <c r="B113" s="20" t="s">
        <v>96</v>
      </c>
      <c r="C113" s="20" t="s">
        <v>190</v>
      </c>
      <c r="D113" s="21" t="n">
        <f aca="false">SUMIF(Indian_Gene_Shares!$B$5:$B$47,A113,Indian_Gene_Shares!$G$5:$G$47)</f>
        <v>0</v>
      </c>
      <c r="E113" s="9" t="n">
        <f aca="false">IFERROR(INDEX(ARIDE_Cohort!$C$6:$C$207,MATCH(A113,ARIDE_Cohort!$A$6:$A$207,0)),0)</f>
        <v>0</v>
      </c>
      <c r="F113" s="22" t="n">
        <f aca="false">MAX(Inputs!$B$24,IF(AND(Inputs!$B$29="ARIDE cohort",ARIDE_Cohort!$B$3&gt;=Inputs!$B$30),E113,D113))</f>
        <v>0.01</v>
      </c>
      <c r="G113" s="20" t="str">
        <f aca="false">IF(AND(Inputs!$B$29="ARIDE cohort",ARIDE_Cohort!$B$3&gt;=Inputs!$B$30),IF(E113&gt;Inputs!$B$24,"ARIDE cohort","Floor (ARIDE share below floor)"),IF(D113&gt;Inputs!$B$24,"Indian literature",IF(D113&gt;0,"Floor (Indian share below floor)","Floor (no Indian data)")))</f>
        <v>Floor (no Indian data)</v>
      </c>
      <c r="H113" s="23" t="n">
        <f aca="false">IF(B113="AR",Inputs!$B$14,IF(B113="AD",Inputs!$B$15,Inputs!$B$16))</f>
        <v>1</v>
      </c>
      <c r="I113" s="12"/>
      <c r="J113" s="24" t="n">
        <f aca="false">IF(I113="",H113,I113)</f>
        <v>1</v>
      </c>
      <c r="K113" s="12"/>
      <c r="L113" s="24" t="n">
        <f aca="false">IF(K113="",Inputs!$B$20,K113)</f>
        <v>0.5</v>
      </c>
      <c r="M113" s="25" t="n">
        <f aca="false">IF(B113="AR",SQRT(Inputs!$B$9*F113/J113),IF(B113="AD",Inputs!$B$9*F113/(2*J113),2*Inputs!$B$9*F113/J113))</f>
        <v>0.00470090743184764</v>
      </c>
      <c r="N113" s="25" t="n">
        <f aca="false">IF(B113="AR",IF(Inputs!$B$25=0,SQRT(Inputs!$B$8*F113/J113),(-Inputs!$B$25+SQRT(Inputs!$B$25^2+4*(1-Inputs!$B$25)*Inputs!$B$8*F113/J113))/(2*(1-Inputs!$B$25))),IF(B113="AD",Inputs!$B$8*F113/(2*J113),2*Inputs!$B$8*F113/J113))</f>
        <v>0.00416319359719033</v>
      </c>
      <c r="O113" s="25" t="n">
        <f aca="false">MIN(Inputs!$B$26,M113*L113)</f>
        <v>0.00235045371592382</v>
      </c>
      <c r="P113" s="25" t="n">
        <f aca="false">MIN(Inputs!$B$26,O113*Inputs!$B$19)</f>
        <v>0.0235045371592382</v>
      </c>
      <c r="Q113" s="25" t="n">
        <f aca="false">MIN(O113,N113*Inputs!$B$21)</f>
        <v>0.000208159679859516</v>
      </c>
      <c r="R113" s="26"/>
      <c r="S113" s="26"/>
      <c r="T113" s="26"/>
      <c r="U113" s="20" t="str">
        <f aca="false">IF(COUNT(R113:T113)&gt;0,"Published spec (+calc where blank)","Calculated (this workbook)")</f>
        <v>Calculated (this workbook)</v>
      </c>
      <c r="V113" s="28" t="n">
        <f aca="false">IF(R113="",MAX(P113,W113),R113)</f>
        <v>0.0235045371592382</v>
      </c>
      <c r="W113" s="28" t="n">
        <f aca="false">IF(S113="",O113,S113)</f>
        <v>0.00235045371592382</v>
      </c>
      <c r="X113" s="28" t="n">
        <f aca="false">IF(T113="",Q113,T113)</f>
        <v>0.000208159679859516</v>
      </c>
      <c r="Y113" s="20" t="str">
        <f aca="false">IF(S113="","",IF(O113&lt;S113,"Calc STRICTER (lower)","Calc more lenient (higher)"))</f>
        <v/>
      </c>
      <c r="Z113" s="20" t="str">
        <f aca="false">IF(B113="XL","Hemizygous male AF (grpmax)","grpmax FAF95; check SAS, IndiGen, GenomeIndia")</f>
        <v>grpmax FAF95; check SAS, IndiGen, GenomeIndia</v>
      </c>
      <c r="AA113" s="20"/>
      <c r="AB113" s="20"/>
    </row>
    <row r="114" customFormat="false" ht="15" hidden="false" customHeight="false" outlineLevel="0" collapsed="false">
      <c r="A114" s="19" t="s">
        <v>254</v>
      </c>
      <c r="B114" s="20" t="s">
        <v>96</v>
      </c>
      <c r="C114" s="20" t="s">
        <v>218</v>
      </c>
      <c r="D114" s="21" t="n">
        <f aca="false">SUMIF(Indian_Gene_Shares!$B$5:$B$47,A114,Indian_Gene_Shares!$G$5:$G$47)</f>
        <v>0</v>
      </c>
      <c r="E114" s="9" t="n">
        <f aca="false">IFERROR(INDEX(ARIDE_Cohort!$C$6:$C$207,MATCH(A114,ARIDE_Cohort!$A$6:$A$207,0)),0)</f>
        <v>0</v>
      </c>
      <c r="F114" s="22" t="n">
        <f aca="false">MAX(Inputs!$B$24,IF(AND(Inputs!$B$29="ARIDE cohort",ARIDE_Cohort!$B$3&gt;=Inputs!$B$30),E114,D114))</f>
        <v>0.01</v>
      </c>
      <c r="G114" s="20" t="str">
        <f aca="false">IF(AND(Inputs!$B$29="ARIDE cohort",ARIDE_Cohort!$B$3&gt;=Inputs!$B$30),IF(E114&gt;Inputs!$B$24,"ARIDE cohort","Floor (ARIDE share below floor)"),IF(D114&gt;Inputs!$B$24,"Indian literature",IF(D114&gt;0,"Floor (Indian share below floor)","Floor (no Indian data)")))</f>
        <v>Floor (no Indian data)</v>
      </c>
      <c r="H114" s="23" t="n">
        <f aca="false">IF(B114="AR",Inputs!$B$14,IF(B114="AD",Inputs!$B$15,Inputs!$B$16))</f>
        <v>1</v>
      </c>
      <c r="I114" s="12"/>
      <c r="J114" s="24" t="n">
        <f aca="false">IF(I114="",H114,I114)</f>
        <v>1</v>
      </c>
      <c r="K114" s="12"/>
      <c r="L114" s="24" t="n">
        <f aca="false">IF(K114="",Inputs!$B$20,K114)</f>
        <v>0.5</v>
      </c>
      <c r="M114" s="25" t="n">
        <f aca="false">IF(B114="AR",SQRT(Inputs!$B$9*F114/J114),IF(B114="AD",Inputs!$B$9*F114/(2*J114),2*Inputs!$B$9*F114/J114))</f>
        <v>0.00470090743184764</v>
      </c>
      <c r="N114" s="25" t="n">
        <f aca="false">IF(B114="AR",IF(Inputs!$B$25=0,SQRT(Inputs!$B$8*F114/J114),(-Inputs!$B$25+SQRT(Inputs!$B$25^2+4*(1-Inputs!$B$25)*Inputs!$B$8*F114/J114))/(2*(1-Inputs!$B$25))),IF(B114="AD",Inputs!$B$8*F114/(2*J114),2*Inputs!$B$8*F114/J114))</f>
        <v>0.00416319359719033</v>
      </c>
      <c r="O114" s="25" t="n">
        <f aca="false">MIN(Inputs!$B$26,M114*L114)</f>
        <v>0.00235045371592382</v>
      </c>
      <c r="P114" s="25" t="n">
        <f aca="false">MIN(Inputs!$B$26,O114*Inputs!$B$19)</f>
        <v>0.0235045371592382</v>
      </c>
      <c r="Q114" s="25" t="n">
        <f aca="false">MIN(O114,N114*Inputs!$B$21)</f>
        <v>0.000208159679859516</v>
      </c>
      <c r="R114" s="26"/>
      <c r="S114" s="26"/>
      <c r="T114" s="26"/>
      <c r="U114" s="20" t="str">
        <f aca="false">IF(COUNT(R114:T114)&gt;0,"Published spec (+calc where blank)","Calculated (this workbook)")</f>
        <v>Calculated (this workbook)</v>
      </c>
      <c r="V114" s="28" t="n">
        <f aca="false">IF(R114="",MAX(P114,W114),R114)</f>
        <v>0.0235045371592382</v>
      </c>
      <c r="W114" s="28" t="n">
        <f aca="false">IF(S114="",O114,S114)</f>
        <v>0.00235045371592382</v>
      </c>
      <c r="X114" s="28" t="n">
        <f aca="false">IF(T114="",Q114,T114)</f>
        <v>0.000208159679859516</v>
      </c>
      <c r="Y114" s="20" t="str">
        <f aca="false">IF(S114="","",IF(O114&lt;S114,"Calc STRICTER (lower)","Calc more lenient (higher)"))</f>
        <v/>
      </c>
      <c r="Z114" s="20" t="str">
        <f aca="false">IF(B114="XL","Hemizygous male AF (grpmax)","grpmax FAF95; check SAS, IndiGen, GenomeIndia")</f>
        <v>grpmax FAF95; check SAS, IndiGen, GenomeIndia</v>
      </c>
      <c r="AA114" s="20"/>
      <c r="AB114" s="20"/>
    </row>
    <row r="115" customFormat="false" ht="15" hidden="false" customHeight="false" outlineLevel="0" collapsed="false">
      <c r="A115" s="19" t="s">
        <v>255</v>
      </c>
      <c r="B115" s="20" t="s">
        <v>96</v>
      </c>
      <c r="C115" s="20" t="s">
        <v>211</v>
      </c>
      <c r="D115" s="21" t="n">
        <f aca="false">SUMIF(Indian_Gene_Shares!$B$5:$B$47,A115,Indian_Gene_Shares!$G$5:$G$47)</f>
        <v>0</v>
      </c>
      <c r="E115" s="9" t="n">
        <f aca="false">IFERROR(INDEX(ARIDE_Cohort!$C$6:$C$207,MATCH(A115,ARIDE_Cohort!$A$6:$A$207,0)),0)</f>
        <v>0</v>
      </c>
      <c r="F115" s="22" t="n">
        <f aca="false">MAX(Inputs!$B$24,IF(AND(Inputs!$B$29="ARIDE cohort",ARIDE_Cohort!$B$3&gt;=Inputs!$B$30),E115,D115))</f>
        <v>0.01</v>
      </c>
      <c r="G115" s="20" t="str">
        <f aca="false">IF(AND(Inputs!$B$29="ARIDE cohort",ARIDE_Cohort!$B$3&gt;=Inputs!$B$30),IF(E115&gt;Inputs!$B$24,"ARIDE cohort","Floor (ARIDE share below floor)"),IF(D115&gt;Inputs!$B$24,"Indian literature",IF(D115&gt;0,"Floor (Indian share below floor)","Floor (no Indian data)")))</f>
        <v>Floor (no Indian data)</v>
      </c>
      <c r="H115" s="23" t="n">
        <f aca="false">IF(B115="AR",Inputs!$B$14,IF(B115="AD",Inputs!$B$15,Inputs!$B$16))</f>
        <v>1</v>
      </c>
      <c r="I115" s="12"/>
      <c r="J115" s="24" t="n">
        <f aca="false">IF(I115="",H115,I115)</f>
        <v>1</v>
      </c>
      <c r="K115" s="12"/>
      <c r="L115" s="24" t="n">
        <f aca="false">IF(K115="",Inputs!$B$20,K115)</f>
        <v>0.5</v>
      </c>
      <c r="M115" s="25" t="n">
        <f aca="false">IF(B115="AR",SQRT(Inputs!$B$9*F115/J115),IF(B115="AD",Inputs!$B$9*F115/(2*J115),2*Inputs!$B$9*F115/J115))</f>
        <v>0.00470090743184764</v>
      </c>
      <c r="N115" s="25" t="n">
        <f aca="false">IF(B115="AR",IF(Inputs!$B$25=0,SQRT(Inputs!$B$8*F115/J115),(-Inputs!$B$25+SQRT(Inputs!$B$25^2+4*(1-Inputs!$B$25)*Inputs!$B$8*F115/J115))/(2*(1-Inputs!$B$25))),IF(B115="AD",Inputs!$B$8*F115/(2*J115),2*Inputs!$B$8*F115/J115))</f>
        <v>0.00416319359719033</v>
      </c>
      <c r="O115" s="25" t="n">
        <f aca="false">MIN(Inputs!$B$26,M115*L115)</f>
        <v>0.00235045371592382</v>
      </c>
      <c r="P115" s="25" t="n">
        <f aca="false">MIN(Inputs!$B$26,O115*Inputs!$B$19)</f>
        <v>0.0235045371592382</v>
      </c>
      <c r="Q115" s="25" t="n">
        <f aca="false">MIN(O115,N115*Inputs!$B$21)</f>
        <v>0.000208159679859516</v>
      </c>
      <c r="R115" s="26"/>
      <c r="S115" s="26"/>
      <c r="T115" s="26"/>
      <c r="U115" s="20" t="str">
        <f aca="false">IF(COUNT(R115:T115)&gt;0,"Published spec (+calc where blank)","Calculated (this workbook)")</f>
        <v>Calculated (this workbook)</v>
      </c>
      <c r="V115" s="28" t="n">
        <f aca="false">IF(R115="",MAX(P115,W115),R115)</f>
        <v>0.0235045371592382</v>
      </c>
      <c r="W115" s="28" t="n">
        <f aca="false">IF(S115="",O115,S115)</f>
        <v>0.00235045371592382</v>
      </c>
      <c r="X115" s="28" t="n">
        <f aca="false">IF(T115="",Q115,T115)</f>
        <v>0.000208159679859516</v>
      </c>
      <c r="Y115" s="20" t="str">
        <f aca="false">IF(S115="","",IF(O115&lt;S115,"Calc STRICTER (lower)","Calc more lenient (higher)"))</f>
        <v/>
      </c>
      <c r="Z115" s="20" t="str">
        <f aca="false">IF(B115="XL","Hemizygous male AF (grpmax)","grpmax FAF95; check SAS, IndiGen, GenomeIndia")</f>
        <v>grpmax FAF95; check SAS, IndiGen, GenomeIndia</v>
      </c>
      <c r="AA115" s="20"/>
      <c r="AB115" s="20"/>
    </row>
    <row r="116" customFormat="false" ht="15" hidden="false" customHeight="false" outlineLevel="0" collapsed="false">
      <c r="A116" s="19" t="s">
        <v>255</v>
      </c>
      <c r="B116" s="20" t="s">
        <v>109</v>
      </c>
      <c r="C116" s="20" t="s">
        <v>211</v>
      </c>
      <c r="D116" s="21" t="n">
        <f aca="false">SUMIF(Indian_Gene_Shares!$B$5:$B$47,A116,Indian_Gene_Shares!$G$5:$G$47)</f>
        <v>0</v>
      </c>
      <c r="E116" s="9" t="n">
        <f aca="false">IFERROR(INDEX(ARIDE_Cohort!$C$6:$C$207,MATCH(A116,ARIDE_Cohort!$A$6:$A$207,0)),0)</f>
        <v>0</v>
      </c>
      <c r="F116" s="22" t="n">
        <f aca="false">MAX(Inputs!$B$24,IF(AND(Inputs!$B$29="ARIDE cohort",ARIDE_Cohort!$B$3&gt;=Inputs!$B$30),E116,D116))</f>
        <v>0.01</v>
      </c>
      <c r="G116" s="20" t="str">
        <f aca="false">IF(AND(Inputs!$B$29="ARIDE cohort",ARIDE_Cohort!$B$3&gt;=Inputs!$B$30),IF(E116&gt;Inputs!$B$24,"ARIDE cohort","Floor (ARIDE share below floor)"),IF(D116&gt;Inputs!$B$24,"Indian literature",IF(D116&gt;0,"Floor (Indian share below floor)","Floor (no Indian data)")))</f>
        <v>Floor (no Indian data)</v>
      </c>
      <c r="H116" s="23" t="n">
        <f aca="false">IF(B116="AR",Inputs!$B$14,IF(B116="AD",Inputs!$B$15,Inputs!$B$16))</f>
        <v>0.5</v>
      </c>
      <c r="I116" s="12"/>
      <c r="J116" s="24" t="n">
        <f aca="false">IF(I116="",H116,I116)</f>
        <v>0.5</v>
      </c>
      <c r="K116" s="12"/>
      <c r="L116" s="24" t="n">
        <f aca="false">IF(K116="",Inputs!$B$20,K116)</f>
        <v>0.5</v>
      </c>
      <c r="M116" s="25" t="n">
        <f aca="false">IF(B116="AR",SQRT(Inputs!$B$9*F116/J116),IF(B116="AD",Inputs!$B$9*F116/(2*J116),2*Inputs!$B$9*F116/J116))</f>
        <v>2.20985306828003E-005</v>
      </c>
      <c r="N116" s="25" t="n">
        <f aca="false">IF(B116="AR",IF(Inputs!$B$25=0,SQRT(Inputs!$B$8*F116/J116),(-Inputs!$B$25+SQRT(Inputs!$B$25^2+4*(1-Inputs!$B$25)*Inputs!$B$8*F116/J116))/(2*(1-Inputs!$B$25))),IF(B116="AD",Inputs!$B$8*F116/(2*J116),2*Inputs!$B$8*F116/J116))</f>
        <v>1.73321809276865E-005</v>
      </c>
      <c r="O116" s="25" t="n">
        <f aca="false">MIN(Inputs!$B$26,M116*L116)</f>
        <v>1.10492653414002E-005</v>
      </c>
      <c r="P116" s="25" t="n">
        <f aca="false">MIN(Inputs!$B$26,O116*Inputs!$B$19)</f>
        <v>0.000110492653414002</v>
      </c>
      <c r="Q116" s="25" t="n">
        <f aca="false">MIN(O116,N116*Inputs!$B$21)</f>
        <v>8.66609046384327E-007</v>
      </c>
      <c r="R116" s="26"/>
      <c r="S116" s="26"/>
      <c r="T116" s="26"/>
      <c r="U116" s="20" t="str">
        <f aca="false">IF(COUNT(R116:T116)&gt;0,"Published spec (+calc where blank)","Calculated (this workbook)")</f>
        <v>Calculated (this workbook)</v>
      </c>
      <c r="V116" s="28" t="n">
        <f aca="false">IF(R116="",MAX(P116,W116),R116)</f>
        <v>0.000110492653414002</v>
      </c>
      <c r="W116" s="28" t="n">
        <f aca="false">IF(S116="",O116,S116)</f>
        <v>1.10492653414002E-005</v>
      </c>
      <c r="X116" s="28" t="n">
        <f aca="false">IF(T116="",Q116,T116)</f>
        <v>8.66609046384327E-007</v>
      </c>
      <c r="Y116" s="20" t="str">
        <f aca="false">IF(S116="","",IF(O116&lt;S116,"Calc STRICTER (lower)","Calc more lenient (higher)"))</f>
        <v/>
      </c>
      <c r="Z116" s="20" t="str">
        <f aca="false">IF(B116="XL","Hemizygous male AF (grpmax)","grpmax FAF95; check SAS, IndiGen, GenomeIndia")</f>
        <v>grpmax FAF95; check SAS, IndiGen, GenomeIndia</v>
      </c>
      <c r="AA116" s="20"/>
      <c r="AB116" s="20"/>
    </row>
    <row r="117" customFormat="false" ht="15" hidden="false" customHeight="false" outlineLevel="0" collapsed="false">
      <c r="A117" s="19" t="s">
        <v>256</v>
      </c>
      <c r="B117" s="20" t="s">
        <v>96</v>
      </c>
      <c r="C117" s="20" t="s">
        <v>129</v>
      </c>
      <c r="D117" s="21" t="n">
        <f aca="false">SUMIF(Indian_Gene_Shares!$B$5:$B$47,A117,Indian_Gene_Shares!$G$5:$G$47)</f>
        <v>0</v>
      </c>
      <c r="E117" s="9" t="n">
        <f aca="false">IFERROR(INDEX(ARIDE_Cohort!$C$6:$C$207,MATCH(A117,ARIDE_Cohort!$A$6:$A$207,0)),0)</f>
        <v>0</v>
      </c>
      <c r="F117" s="22" t="n">
        <f aca="false">MAX(Inputs!$B$24,IF(AND(Inputs!$B$29="ARIDE cohort",ARIDE_Cohort!$B$3&gt;=Inputs!$B$30),E117,D117))</f>
        <v>0.01</v>
      </c>
      <c r="G117" s="20" t="str">
        <f aca="false">IF(AND(Inputs!$B$29="ARIDE cohort",ARIDE_Cohort!$B$3&gt;=Inputs!$B$30),IF(E117&gt;Inputs!$B$24,"ARIDE cohort","Floor (ARIDE share below floor)"),IF(D117&gt;Inputs!$B$24,"Indian literature",IF(D117&gt;0,"Floor (Indian share below floor)","Floor (no Indian data)")))</f>
        <v>Floor (no Indian data)</v>
      </c>
      <c r="H117" s="23" t="n">
        <f aca="false">IF(B117="AR",Inputs!$B$14,IF(B117="AD",Inputs!$B$15,Inputs!$B$16))</f>
        <v>1</v>
      </c>
      <c r="I117" s="12"/>
      <c r="J117" s="24" t="n">
        <f aca="false">IF(I117="",H117,I117)</f>
        <v>1</v>
      </c>
      <c r="K117" s="12"/>
      <c r="L117" s="24" t="n">
        <f aca="false">IF(K117="",Inputs!$B$20,K117)</f>
        <v>0.5</v>
      </c>
      <c r="M117" s="25" t="n">
        <f aca="false">IF(B117="AR",SQRT(Inputs!$B$9*F117/J117),IF(B117="AD",Inputs!$B$9*F117/(2*J117),2*Inputs!$B$9*F117/J117))</f>
        <v>0.00470090743184764</v>
      </c>
      <c r="N117" s="25" t="n">
        <f aca="false">IF(B117="AR",IF(Inputs!$B$25=0,SQRT(Inputs!$B$8*F117/J117),(-Inputs!$B$25+SQRT(Inputs!$B$25^2+4*(1-Inputs!$B$25)*Inputs!$B$8*F117/J117))/(2*(1-Inputs!$B$25))),IF(B117="AD",Inputs!$B$8*F117/(2*J117),2*Inputs!$B$8*F117/J117))</f>
        <v>0.00416319359719033</v>
      </c>
      <c r="O117" s="25" t="n">
        <f aca="false">MIN(Inputs!$B$26,M117*L117)</f>
        <v>0.00235045371592382</v>
      </c>
      <c r="P117" s="25" t="n">
        <f aca="false">MIN(Inputs!$B$26,O117*Inputs!$B$19)</f>
        <v>0.0235045371592382</v>
      </c>
      <c r="Q117" s="25" t="n">
        <f aca="false">MIN(O117,N117*Inputs!$B$21)</f>
        <v>0.000208159679859516</v>
      </c>
      <c r="R117" s="26"/>
      <c r="S117" s="26"/>
      <c r="T117" s="26"/>
      <c r="U117" s="20" t="str">
        <f aca="false">IF(COUNT(R117:T117)&gt;0,"Published spec (+calc where blank)","Calculated (this workbook)")</f>
        <v>Calculated (this workbook)</v>
      </c>
      <c r="V117" s="28" t="n">
        <f aca="false">IF(R117="",MAX(P117,W117),R117)</f>
        <v>0.0235045371592382</v>
      </c>
      <c r="W117" s="28" t="n">
        <f aca="false">IF(S117="",O117,S117)</f>
        <v>0.00235045371592382</v>
      </c>
      <c r="X117" s="28" t="n">
        <f aca="false">IF(T117="",Q117,T117)</f>
        <v>0.000208159679859516</v>
      </c>
      <c r="Y117" s="20" t="str">
        <f aca="false">IF(S117="","",IF(O117&lt;S117,"Calc STRICTER (lower)","Calc more lenient (higher)"))</f>
        <v/>
      </c>
      <c r="Z117" s="20" t="str">
        <f aca="false">IF(B117="XL","Hemizygous male AF (grpmax)","grpmax FAF95; check SAS, IndiGen, GenomeIndia")</f>
        <v>grpmax FAF95; check SAS, IndiGen, GenomeIndia</v>
      </c>
      <c r="AA117" s="20"/>
      <c r="AB117" s="20"/>
    </row>
    <row r="118" customFormat="false" ht="15" hidden="false" customHeight="false" outlineLevel="0" collapsed="false">
      <c r="A118" s="19" t="s">
        <v>257</v>
      </c>
      <c r="B118" s="20" t="s">
        <v>96</v>
      </c>
      <c r="C118" s="20" t="s">
        <v>105</v>
      </c>
      <c r="D118" s="21" t="n">
        <f aca="false">SUMIF(Indian_Gene_Shares!$B$5:$B$47,A118,Indian_Gene_Shares!$G$5:$G$47)</f>
        <v>0</v>
      </c>
      <c r="E118" s="9" t="n">
        <f aca="false">IFERROR(INDEX(ARIDE_Cohort!$C$6:$C$207,MATCH(A118,ARIDE_Cohort!$A$6:$A$207,0)),0)</f>
        <v>0</v>
      </c>
      <c r="F118" s="22" t="n">
        <f aca="false">MAX(Inputs!$B$24,IF(AND(Inputs!$B$29="ARIDE cohort",ARIDE_Cohort!$B$3&gt;=Inputs!$B$30),E118,D118))</f>
        <v>0.01</v>
      </c>
      <c r="G118" s="20" t="str">
        <f aca="false">IF(AND(Inputs!$B$29="ARIDE cohort",ARIDE_Cohort!$B$3&gt;=Inputs!$B$30),IF(E118&gt;Inputs!$B$24,"ARIDE cohort","Floor (ARIDE share below floor)"),IF(D118&gt;Inputs!$B$24,"Indian literature",IF(D118&gt;0,"Floor (Indian share below floor)","Floor (no Indian data)")))</f>
        <v>Floor (no Indian data)</v>
      </c>
      <c r="H118" s="23" t="n">
        <f aca="false">IF(B118="AR",Inputs!$B$14,IF(B118="AD",Inputs!$B$15,Inputs!$B$16))</f>
        <v>1</v>
      </c>
      <c r="I118" s="12"/>
      <c r="J118" s="24" t="n">
        <f aca="false">IF(I118="",H118,I118)</f>
        <v>1</v>
      </c>
      <c r="K118" s="12"/>
      <c r="L118" s="24" t="n">
        <f aca="false">IF(K118="",Inputs!$B$20,K118)</f>
        <v>0.5</v>
      </c>
      <c r="M118" s="25" t="n">
        <f aca="false">IF(B118="AR",SQRT(Inputs!$B$9*F118/J118),IF(B118="AD",Inputs!$B$9*F118/(2*J118),2*Inputs!$B$9*F118/J118))</f>
        <v>0.00470090743184764</v>
      </c>
      <c r="N118" s="25" t="n">
        <f aca="false">IF(B118="AR",IF(Inputs!$B$25=0,SQRT(Inputs!$B$8*F118/J118),(-Inputs!$B$25+SQRT(Inputs!$B$25^2+4*(1-Inputs!$B$25)*Inputs!$B$8*F118/J118))/(2*(1-Inputs!$B$25))),IF(B118="AD",Inputs!$B$8*F118/(2*J118),2*Inputs!$B$8*F118/J118))</f>
        <v>0.00416319359719033</v>
      </c>
      <c r="O118" s="25" t="n">
        <f aca="false">MIN(Inputs!$B$26,M118*L118)</f>
        <v>0.00235045371592382</v>
      </c>
      <c r="P118" s="25" t="n">
        <f aca="false">MIN(Inputs!$B$26,O118*Inputs!$B$19)</f>
        <v>0.0235045371592382</v>
      </c>
      <c r="Q118" s="25" t="n">
        <f aca="false">MIN(O118,N118*Inputs!$B$21)</f>
        <v>0.000208159679859516</v>
      </c>
      <c r="R118" s="26"/>
      <c r="S118" s="26"/>
      <c r="T118" s="26"/>
      <c r="U118" s="20" t="str">
        <f aca="false">IF(COUNT(R118:T118)&gt;0,"Published spec (+calc where blank)","Calculated (this workbook)")</f>
        <v>Calculated (this workbook)</v>
      </c>
      <c r="V118" s="28" t="n">
        <f aca="false">IF(R118="",MAX(P118,W118),R118)</f>
        <v>0.0235045371592382</v>
      </c>
      <c r="W118" s="28" t="n">
        <f aca="false">IF(S118="",O118,S118)</f>
        <v>0.00235045371592382</v>
      </c>
      <c r="X118" s="28" t="n">
        <f aca="false">IF(T118="",Q118,T118)</f>
        <v>0.000208159679859516</v>
      </c>
      <c r="Y118" s="20" t="str">
        <f aca="false">IF(S118="","",IF(O118&lt;S118,"Calc STRICTER (lower)","Calc more lenient (higher)"))</f>
        <v/>
      </c>
      <c r="Z118" s="20" t="str">
        <f aca="false">IF(B118="XL","Hemizygous male AF (grpmax)","grpmax FAF95; check SAS, IndiGen, GenomeIndia")</f>
        <v>grpmax FAF95; check SAS, IndiGen, GenomeIndia</v>
      </c>
      <c r="AA118" s="20"/>
      <c r="AB118" s="20"/>
    </row>
    <row r="119" customFormat="false" ht="15" hidden="false" customHeight="false" outlineLevel="0" collapsed="false">
      <c r="A119" s="19" t="s">
        <v>258</v>
      </c>
      <c r="B119" s="20" t="s">
        <v>96</v>
      </c>
      <c r="C119" s="20" t="s">
        <v>105</v>
      </c>
      <c r="D119" s="21" t="n">
        <f aca="false">SUMIF(Indian_Gene_Shares!$B$5:$B$47,A119,Indian_Gene_Shares!$G$5:$G$47)</f>
        <v>0</v>
      </c>
      <c r="E119" s="9" t="n">
        <f aca="false">IFERROR(INDEX(ARIDE_Cohort!$C$6:$C$207,MATCH(A119,ARIDE_Cohort!$A$6:$A$207,0)),0)</f>
        <v>0</v>
      </c>
      <c r="F119" s="22" t="n">
        <f aca="false">MAX(Inputs!$B$24,IF(AND(Inputs!$B$29="ARIDE cohort",ARIDE_Cohort!$B$3&gt;=Inputs!$B$30),E119,D119))</f>
        <v>0.01</v>
      </c>
      <c r="G119" s="20" t="str">
        <f aca="false">IF(AND(Inputs!$B$29="ARIDE cohort",ARIDE_Cohort!$B$3&gt;=Inputs!$B$30),IF(E119&gt;Inputs!$B$24,"ARIDE cohort","Floor (ARIDE share below floor)"),IF(D119&gt;Inputs!$B$24,"Indian literature",IF(D119&gt;0,"Floor (Indian share below floor)","Floor (no Indian data)")))</f>
        <v>Floor (no Indian data)</v>
      </c>
      <c r="H119" s="23" t="n">
        <f aca="false">IF(B119="AR",Inputs!$B$14,IF(B119="AD",Inputs!$B$15,Inputs!$B$16))</f>
        <v>1</v>
      </c>
      <c r="I119" s="12"/>
      <c r="J119" s="24" t="n">
        <f aca="false">IF(I119="",H119,I119)</f>
        <v>1</v>
      </c>
      <c r="K119" s="12"/>
      <c r="L119" s="24" t="n">
        <f aca="false">IF(K119="",Inputs!$B$20,K119)</f>
        <v>0.5</v>
      </c>
      <c r="M119" s="25" t="n">
        <f aca="false">IF(B119="AR",SQRT(Inputs!$B$9*F119/J119),IF(B119="AD",Inputs!$B$9*F119/(2*J119),2*Inputs!$B$9*F119/J119))</f>
        <v>0.00470090743184764</v>
      </c>
      <c r="N119" s="25" t="n">
        <f aca="false">IF(B119="AR",IF(Inputs!$B$25=0,SQRT(Inputs!$B$8*F119/J119),(-Inputs!$B$25+SQRT(Inputs!$B$25^2+4*(1-Inputs!$B$25)*Inputs!$B$8*F119/J119))/(2*(1-Inputs!$B$25))),IF(B119="AD",Inputs!$B$8*F119/(2*J119),2*Inputs!$B$8*F119/J119))</f>
        <v>0.00416319359719033</v>
      </c>
      <c r="O119" s="25" t="n">
        <f aca="false">MIN(Inputs!$B$26,M119*L119)</f>
        <v>0.00235045371592382</v>
      </c>
      <c r="P119" s="25" t="n">
        <f aca="false">MIN(Inputs!$B$26,O119*Inputs!$B$19)</f>
        <v>0.0235045371592382</v>
      </c>
      <c r="Q119" s="25" t="n">
        <f aca="false">MIN(O119,N119*Inputs!$B$21)</f>
        <v>0.000208159679859516</v>
      </c>
      <c r="R119" s="26"/>
      <c r="S119" s="26"/>
      <c r="T119" s="26"/>
      <c r="U119" s="20" t="str">
        <f aca="false">IF(COUNT(R119:T119)&gt;0,"Published spec (+calc where blank)","Calculated (this workbook)")</f>
        <v>Calculated (this workbook)</v>
      </c>
      <c r="V119" s="28" t="n">
        <f aca="false">IF(R119="",MAX(P119,W119),R119)</f>
        <v>0.0235045371592382</v>
      </c>
      <c r="W119" s="28" t="n">
        <f aca="false">IF(S119="",O119,S119)</f>
        <v>0.00235045371592382</v>
      </c>
      <c r="X119" s="28" t="n">
        <f aca="false">IF(T119="",Q119,T119)</f>
        <v>0.000208159679859516</v>
      </c>
      <c r="Y119" s="20" t="str">
        <f aca="false">IF(S119="","",IF(O119&lt;S119,"Calc STRICTER (lower)","Calc more lenient (higher)"))</f>
        <v/>
      </c>
      <c r="Z119" s="20" t="str">
        <f aca="false">IF(B119="XL","Hemizygous male AF (grpmax)","grpmax FAF95; check SAS, IndiGen, GenomeIndia")</f>
        <v>grpmax FAF95; check SAS, IndiGen, GenomeIndia</v>
      </c>
      <c r="AA119" s="20"/>
      <c r="AB119" s="20"/>
    </row>
    <row r="120" customFormat="false" ht="15" hidden="false" customHeight="false" outlineLevel="0" collapsed="false">
      <c r="A120" s="19" t="s">
        <v>259</v>
      </c>
      <c r="B120" s="20" t="s">
        <v>96</v>
      </c>
      <c r="C120" s="20" t="s">
        <v>260</v>
      </c>
      <c r="D120" s="21" t="n">
        <f aca="false">SUMIF(Indian_Gene_Shares!$B$5:$B$47,A120,Indian_Gene_Shares!$G$5:$G$47)</f>
        <v>0</v>
      </c>
      <c r="E120" s="9" t="n">
        <f aca="false">IFERROR(INDEX(ARIDE_Cohort!$C$6:$C$207,MATCH(A120,ARIDE_Cohort!$A$6:$A$207,0)),0)</f>
        <v>0</v>
      </c>
      <c r="F120" s="22" t="n">
        <f aca="false">MAX(Inputs!$B$24,IF(AND(Inputs!$B$29="ARIDE cohort",ARIDE_Cohort!$B$3&gt;=Inputs!$B$30),E120,D120))</f>
        <v>0.01</v>
      </c>
      <c r="G120" s="20" t="str">
        <f aca="false">IF(AND(Inputs!$B$29="ARIDE cohort",ARIDE_Cohort!$B$3&gt;=Inputs!$B$30),IF(E120&gt;Inputs!$B$24,"ARIDE cohort","Floor (ARIDE share below floor)"),IF(D120&gt;Inputs!$B$24,"Indian literature",IF(D120&gt;0,"Floor (Indian share below floor)","Floor (no Indian data)")))</f>
        <v>Floor (no Indian data)</v>
      </c>
      <c r="H120" s="23" t="n">
        <f aca="false">IF(B120="AR",Inputs!$B$14,IF(B120="AD",Inputs!$B$15,Inputs!$B$16))</f>
        <v>1</v>
      </c>
      <c r="I120" s="12"/>
      <c r="J120" s="24" t="n">
        <f aca="false">IF(I120="",H120,I120)</f>
        <v>1</v>
      </c>
      <c r="K120" s="12"/>
      <c r="L120" s="24" t="n">
        <f aca="false">IF(K120="",Inputs!$B$20,K120)</f>
        <v>0.5</v>
      </c>
      <c r="M120" s="25" t="n">
        <f aca="false">IF(B120="AR",SQRT(Inputs!$B$9*F120/J120),IF(B120="AD",Inputs!$B$9*F120/(2*J120),2*Inputs!$B$9*F120/J120))</f>
        <v>0.00470090743184764</v>
      </c>
      <c r="N120" s="25" t="n">
        <f aca="false">IF(B120="AR",IF(Inputs!$B$25=0,SQRT(Inputs!$B$8*F120/J120),(-Inputs!$B$25+SQRT(Inputs!$B$25^2+4*(1-Inputs!$B$25)*Inputs!$B$8*F120/J120))/(2*(1-Inputs!$B$25))),IF(B120="AD",Inputs!$B$8*F120/(2*J120),2*Inputs!$B$8*F120/J120))</f>
        <v>0.00416319359719033</v>
      </c>
      <c r="O120" s="25" t="n">
        <f aca="false">MIN(Inputs!$B$26,M120*L120)</f>
        <v>0.00235045371592382</v>
      </c>
      <c r="P120" s="25" t="n">
        <f aca="false">MIN(Inputs!$B$26,O120*Inputs!$B$19)</f>
        <v>0.0235045371592382</v>
      </c>
      <c r="Q120" s="25" t="n">
        <f aca="false">MIN(O120,N120*Inputs!$B$21)</f>
        <v>0.000208159679859516</v>
      </c>
      <c r="R120" s="26"/>
      <c r="S120" s="26"/>
      <c r="T120" s="26"/>
      <c r="U120" s="20" t="str">
        <f aca="false">IF(COUNT(R120:T120)&gt;0,"Published spec (+calc where blank)","Calculated (this workbook)")</f>
        <v>Calculated (this workbook)</v>
      </c>
      <c r="V120" s="28" t="n">
        <f aca="false">IF(R120="",MAX(P120,W120),R120)</f>
        <v>0.0235045371592382</v>
      </c>
      <c r="W120" s="28" t="n">
        <f aca="false">IF(S120="",O120,S120)</f>
        <v>0.00235045371592382</v>
      </c>
      <c r="X120" s="28" t="n">
        <f aca="false">IF(T120="",Q120,T120)</f>
        <v>0.000208159679859516</v>
      </c>
      <c r="Y120" s="20" t="str">
        <f aca="false">IF(S120="","",IF(O120&lt;S120,"Calc STRICTER (lower)","Calc more lenient (higher)"))</f>
        <v/>
      </c>
      <c r="Z120" s="20" t="str">
        <f aca="false">IF(B120="XL","Hemizygous male AF (grpmax)","grpmax FAF95; check SAS, IndiGen, GenomeIndia")</f>
        <v>grpmax FAF95; check SAS, IndiGen, GenomeIndia</v>
      </c>
      <c r="AA120" s="20"/>
      <c r="AB120" s="20"/>
    </row>
    <row r="121" customFormat="false" ht="15" hidden="false" customHeight="false" outlineLevel="0" collapsed="false">
      <c r="A121" s="19" t="s">
        <v>261</v>
      </c>
      <c r="B121" s="20" t="s">
        <v>96</v>
      </c>
      <c r="C121" s="20" t="s">
        <v>262</v>
      </c>
      <c r="D121" s="21" t="n">
        <f aca="false">SUMIF(Indian_Gene_Shares!$B$5:$B$47,A121,Indian_Gene_Shares!$G$5:$G$47)</f>
        <v>0</v>
      </c>
      <c r="E121" s="9" t="n">
        <f aca="false">IFERROR(INDEX(ARIDE_Cohort!$C$6:$C$207,MATCH(A121,ARIDE_Cohort!$A$6:$A$207,0)),0)</f>
        <v>0</v>
      </c>
      <c r="F121" s="22" t="n">
        <f aca="false">MAX(Inputs!$B$24,IF(AND(Inputs!$B$29="ARIDE cohort",ARIDE_Cohort!$B$3&gt;=Inputs!$B$30),E121,D121))</f>
        <v>0.01</v>
      </c>
      <c r="G121" s="20" t="str">
        <f aca="false">IF(AND(Inputs!$B$29="ARIDE cohort",ARIDE_Cohort!$B$3&gt;=Inputs!$B$30),IF(E121&gt;Inputs!$B$24,"ARIDE cohort","Floor (ARIDE share below floor)"),IF(D121&gt;Inputs!$B$24,"Indian literature",IF(D121&gt;0,"Floor (Indian share below floor)","Floor (no Indian data)")))</f>
        <v>Floor (no Indian data)</v>
      </c>
      <c r="H121" s="23" t="n">
        <f aca="false">IF(B121="AR",Inputs!$B$14,IF(B121="AD",Inputs!$B$15,Inputs!$B$16))</f>
        <v>1</v>
      </c>
      <c r="I121" s="12"/>
      <c r="J121" s="24" t="n">
        <f aca="false">IF(I121="",H121,I121)</f>
        <v>1</v>
      </c>
      <c r="K121" s="12"/>
      <c r="L121" s="24" t="n">
        <f aca="false">IF(K121="",Inputs!$B$20,K121)</f>
        <v>0.5</v>
      </c>
      <c r="M121" s="25" t="n">
        <f aca="false">IF(B121="AR",SQRT(Inputs!$B$9*F121/J121),IF(B121="AD",Inputs!$B$9*F121/(2*J121),2*Inputs!$B$9*F121/J121))</f>
        <v>0.00470090743184764</v>
      </c>
      <c r="N121" s="25" t="n">
        <f aca="false">IF(B121="AR",IF(Inputs!$B$25=0,SQRT(Inputs!$B$8*F121/J121),(-Inputs!$B$25+SQRT(Inputs!$B$25^2+4*(1-Inputs!$B$25)*Inputs!$B$8*F121/J121))/(2*(1-Inputs!$B$25))),IF(B121="AD",Inputs!$B$8*F121/(2*J121),2*Inputs!$B$8*F121/J121))</f>
        <v>0.00416319359719033</v>
      </c>
      <c r="O121" s="25" t="n">
        <f aca="false">MIN(Inputs!$B$26,M121*L121)</f>
        <v>0.00235045371592382</v>
      </c>
      <c r="P121" s="25" t="n">
        <f aca="false">MIN(Inputs!$B$26,O121*Inputs!$B$19)</f>
        <v>0.0235045371592382</v>
      </c>
      <c r="Q121" s="25" t="n">
        <f aca="false">MIN(O121,N121*Inputs!$B$21)</f>
        <v>0.000208159679859516</v>
      </c>
      <c r="R121" s="26"/>
      <c r="S121" s="26"/>
      <c r="T121" s="26"/>
      <c r="U121" s="20" t="str">
        <f aca="false">IF(COUNT(R121:T121)&gt;0,"Published spec (+calc where blank)","Calculated (this workbook)")</f>
        <v>Calculated (this workbook)</v>
      </c>
      <c r="V121" s="28" t="n">
        <f aca="false">IF(R121="",MAX(P121,W121),R121)</f>
        <v>0.0235045371592382</v>
      </c>
      <c r="W121" s="28" t="n">
        <f aca="false">IF(S121="",O121,S121)</f>
        <v>0.00235045371592382</v>
      </c>
      <c r="X121" s="28" t="n">
        <f aca="false">IF(T121="",Q121,T121)</f>
        <v>0.000208159679859516</v>
      </c>
      <c r="Y121" s="20" t="str">
        <f aca="false">IF(S121="","",IF(O121&lt;S121,"Calc STRICTER (lower)","Calc more lenient (higher)"))</f>
        <v/>
      </c>
      <c r="Z121" s="20" t="str">
        <f aca="false">IF(B121="XL","Hemizygous male AF (grpmax)","grpmax FAF95; check SAS, IndiGen, GenomeIndia")</f>
        <v>grpmax FAF95; check SAS, IndiGen, GenomeIndia</v>
      </c>
      <c r="AA121" s="20"/>
      <c r="AB121" s="20"/>
    </row>
    <row r="122" customFormat="false" ht="15" hidden="false" customHeight="false" outlineLevel="0" collapsed="false">
      <c r="A122" s="19" t="s">
        <v>263</v>
      </c>
      <c r="B122" s="20" t="s">
        <v>96</v>
      </c>
      <c r="C122" s="20" t="s">
        <v>129</v>
      </c>
      <c r="D122" s="21" t="n">
        <f aca="false">SUMIF(Indian_Gene_Shares!$B$5:$B$47,A122,Indian_Gene_Shares!$G$5:$G$47)</f>
        <v>0.00390864361702128</v>
      </c>
      <c r="E122" s="9" t="n">
        <f aca="false">IFERROR(INDEX(ARIDE_Cohort!$C$6:$C$207,MATCH(A122,ARIDE_Cohort!$A$6:$A$207,0)),0)</f>
        <v>0</v>
      </c>
      <c r="F122" s="22" t="n">
        <f aca="false">MAX(Inputs!$B$24,IF(AND(Inputs!$B$29="ARIDE cohort",ARIDE_Cohort!$B$3&gt;=Inputs!$B$30),E122,D122))</f>
        <v>0.01</v>
      </c>
      <c r="G122" s="20" t="str">
        <f aca="false">IF(AND(Inputs!$B$29="ARIDE cohort",ARIDE_Cohort!$B$3&gt;=Inputs!$B$30),IF(E122&gt;Inputs!$B$24,"ARIDE cohort","Floor (ARIDE share below floor)"),IF(D122&gt;Inputs!$B$24,"Indian literature",IF(D122&gt;0,"Floor (Indian share below floor)","Floor (no Indian data)")))</f>
        <v>Floor (Indian share below floor)</v>
      </c>
      <c r="H122" s="23" t="n">
        <f aca="false">IF(B122="AR",Inputs!$B$14,IF(B122="AD",Inputs!$B$15,Inputs!$B$16))</f>
        <v>1</v>
      </c>
      <c r="I122" s="12"/>
      <c r="J122" s="24" t="n">
        <f aca="false">IF(I122="",H122,I122)</f>
        <v>1</v>
      </c>
      <c r="K122" s="12"/>
      <c r="L122" s="24" t="n">
        <f aca="false">IF(K122="",Inputs!$B$20,K122)</f>
        <v>0.5</v>
      </c>
      <c r="M122" s="25" t="n">
        <f aca="false">IF(B122="AR",SQRT(Inputs!$B$9*F122/J122),IF(B122="AD",Inputs!$B$9*F122/(2*J122),2*Inputs!$B$9*F122/J122))</f>
        <v>0.00470090743184764</v>
      </c>
      <c r="N122" s="25" t="n">
        <f aca="false">IF(B122="AR",IF(Inputs!$B$25=0,SQRT(Inputs!$B$8*F122/J122),(-Inputs!$B$25+SQRT(Inputs!$B$25^2+4*(1-Inputs!$B$25)*Inputs!$B$8*F122/J122))/(2*(1-Inputs!$B$25))),IF(B122="AD",Inputs!$B$8*F122/(2*J122),2*Inputs!$B$8*F122/J122))</f>
        <v>0.00416319359719033</v>
      </c>
      <c r="O122" s="25" t="n">
        <f aca="false">MIN(Inputs!$B$26,M122*L122)</f>
        <v>0.00235045371592382</v>
      </c>
      <c r="P122" s="25" t="n">
        <f aca="false">MIN(Inputs!$B$26,O122*Inputs!$B$19)</f>
        <v>0.0235045371592382</v>
      </c>
      <c r="Q122" s="25" t="n">
        <f aca="false">MIN(O122,N122*Inputs!$B$21)</f>
        <v>0.000208159679859516</v>
      </c>
      <c r="R122" s="26"/>
      <c r="S122" s="26"/>
      <c r="T122" s="26"/>
      <c r="U122" s="20" t="str">
        <f aca="false">IF(COUNT(R122:T122)&gt;0,"Published spec (+calc where blank)","Calculated (this workbook)")</f>
        <v>Calculated (this workbook)</v>
      </c>
      <c r="V122" s="28" t="n">
        <f aca="false">IF(R122="",MAX(P122,W122),R122)</f>
        <v>0.0235045371592382</v>
      </c>
      <c r="W122" s="28" t="n">
        <f aca="false">IF(S122="",O122,S122)</f>
        <v>0.00235045371592382</v>
      </c>
      <c r="X122" s="28" t="n">
        <f aca="false">IF(T122="",Q122,T122)</f>
        <v>0.000208159679859516</v>
      </c>
      <c r="Y122" s="20" t="str">
        <f aca="false">IF(S122="","",IF(O122&lt;S122,"Calc STRICTER (lower)","Calc more lenient (higher)"))</f>
        <v/>
      </c>
      <c r="Z122" s="20" t="str">
        <f aca="false">IF(B122="XL","Hemizygous male AF (grpmax)","grpmax FAF95; check SAS, IndiGen, GenomeIndia")</f>
        <v>grpmax FAF95; check SAS, IndiGen, GenomeIndia</v>
      </c>
      <c r="AA122" s="20"/>
      <c r="AB122" s="20"/>
    </row>
    <row r="123" customFormat="false" ht="15" hidden="false" customHeight="false" outlineLevel="0" collapsed="false">
      <c r="A123" s="19" t="s">
        <v>264</v>
      </c>
      <c r="B123" s="20" t="s">
        <v>96</v>
      </c>
      <c r="C123" s="20" t="s">
        <v>265</v>
      </c>
      <c r="D123" s="21" t="n">
        <f aca="false">SUMIF(Indian_Gene_Shares!$B$5:$B$47,A123,Indian_Gene_Shares!$G$5:$G$47)</f>
        <v>0</v>
      </c>
      <c r="E123" s="9" t="n">
        <f aca="false">IFERROR(INDEX(ARIDE_Cohort!$C$6:$C$207,MATCH(A123,ARIDE_Cohort!$A$6:$A$207,0)),0)</f>
        <v>0</v>
      </c>
      <c r="F123" s="22" t="n">
        <f aca="false">MAX(Inputs!$B$24,IF(AND(Inputs!$B$29="ARIDE cohort",ARIDE_Cohort!$B$3&gt;=Inputs!$B$30),E123,D123))</f>
        <v>0.01</v>
      </c>
      <c r="G123" s="20" t="str">
        <f aca="false">IF(AND(Inputs!$B$29="ARIDE cohort",ARIDE_Cohort!$B$3&gt;=Inputs!$B$30),IF(E123&gt;Inputs!$B$24,"ARIDE cohort","Floor (ARIDE share below floor)"),IF(D123&gt;Inputs!$B$24,"Indian literature",IF(D123&gt;0,"Floor (Indian share below floor)","Floor (no Indian data)")))</f>
        <v>Floor (no Indian data)</v>
      </c>
      <c r="H123" s="23" t="n">
        <f aca="false">IF(B123="AR",Inputs!$B$14,IF(B123="AD",Inputs!$B$15,Inputs!$B$16))</f>
        <v>1</v>
      </c>
      <c r="I123" s="12"/>
      <c r="J123" s="24" t="n">
        <f aca="false">IF(I123="",H123,I123)</f>
        <v>1</v>
      </c>
      <c r="K123" s="12"/>
      <c r="L123" s="24" t="n">
        <f aca="false">IF(K123="",Inputs!$B$20,K123)</f>
        <v>0.5</v>
      </c>
      <c r="M123" s="25" t="n">
        <f aca="false">IF(B123="AR",SQRT(Inputs!$B$9*F123/J123),IF(B123="AD",Inputs!$B$9*F123/(2*J123),2*Inputs!$B$9*F123/J123))</f>
        <v>0.00470090743184764</v>
      </c>
      <c r="N123" s="25" t="n">
        <f aca="false">IF(B123="AR",IF(Inputs!$B$25=0,SQRT(Inputs!$B$8*F123/J123),(-Inputs!$B$25+SQRT(Inputs!$B$25^2+4*(1-Inputs!$B$25)*Inputs!$B$8*F123/J123))/(2*(1-Inputs!$B$25))),IF(B123="AD",Inputs!$B$8*F123/(2*J123),2*Inputs!$B$8*F123/J123))</f>
        <v>0.00416319359719033</v>
      </c>
      <c r="O123" s="25" t="n">
        <f aca="false">MIN(Inputs!$B$26,M123*L123)</f>
        <v>0.00235045371592382</v>
      </c>
      <c r="P123" s="25" t="n">
        <f aca="false">MIN(Inputs!$B$26,O123*Inputs!$B$19)</f>
        <v>0.0235045371592382</v>
      </c>
      <c r="Q123" s="25" t="n">
        <f aca="false">MIN(O123,N123*Inputs!$B$21)</f>
        <v>0.000208159679859516</v>
      </c>
      <c r="R123" s="26"/>
      <c r="S123" s="26"/>
      <c r="T123" s="26"/>
      <c r="U123" s="20" t="str">
        <f aca="false">IF(COUNT(R123:T123)&gt;0,"Published spec (+calc where blank)","Calculated (this workbook)")</f>
        <v>Calculated (this workbook)</v>
      </c>
      <c r="V123" s="28" t="n">
        <f aca="false">IF(R123="",MAX(P123,W123),R123)</f>
        <v>0.0235045371592382</v>
      </c>
      <c r="W123" s="28" t="n">
        <f aca="false">IF(S123="",O123,S123)</f>
        <v>0.00235045371592382</v>
      </c>
      <c r="X123" s="28" t="n">
        <f aca="false">IF(T123="",Q123,T123)</f>
        <v>0.000208159679859516</v>
      </c>
      <c r="Y123" s="20" t="str">
        <f aca="false">IF(S123="","",IF(O123&lt;S123,"Calc STRICTER (lower)","Calc more lenient (higher)"))</f>
        <v/>
      </c>
      <c r="Z123" s="20" t="str">
        <f aca="false">IF(B123="XL","Hemizygous male AF (grpmax)","grpmax FAF95; check SAS, IndiGen, GenomeIndia")</f>
        <v>grpmax FAF95; check SAS, IndiGen, GenomeIndia</v>
      </c>
      <c r="AA123" s="20"/>
      <c r="AB123" s="20"/>
    </row>
    <row r="124" customFormat="false" ht="15" hidden="false" customHeight="false" outlineLevel="0" collapsed="false">
      <c r="A124" s="19" t="s">
        <v>266</v>
      </c>
      <c r="B124" s="20" t="s">
        <v>96</v>
      </c>
      <c r="C124" s="20" t="s">
        <v>105</v>
      </c>
      <c r="D124" s="21" t="n">
        <f aca="false">SUMIF(Indian_Gene_Shares!$B$5:$B$47,A124,Indian_Gene_Shares!$G$5:$G$47)</f>
        <v>0</v>
      </c>
      <c r="E124" s="9" t="n">
        <f aca="false">IFERROR(INDEX(ARIDE_Cohort!$C$6:$C$207,MATCH(A124,ARIDE_Cohort!$A$6:$A$207,0)),0)</f>
        <v>0</v>
      </c>
      <c r="F124" s="22" t="n">
        <f aca="false">MAX(Inputs!$B$24,IF(AND(Inputs!$B$29="ARIDE cohort",ARIDE_Cohort!$B$3&gt;=Inputs!$B$30),E124,D124))</f>
        <v>0.01</v>
      </c>
      <c r="G124" s="20" t="str">
        <f aca="false">IF(AND(Inputs!$B$29="ARIDE cohort",ARIDE_Cohort!$B$3&gt;=Inputs!$B$30),IF(E124&gt;Inputs!$B$24,"ARIDE cohort","Floor (ARIDE share below floor)"),IF(D124&gt;Inputs!$B$24,"Indian literature",IF(D124&gt;0,"Floor (Indian share below floor)","Floor (no Indian data)")))</f>
        <v>Floor (no Indian data)</v>
      </c>
      <c r="H124" s="23" t="n">
        <f aca="false">IF(B124="AR",Inputs!$B$14,IF(B124="AD",Inputs!$B$15,Inputs!$B$16))</f>
        <v>1</v>
      </c>
      <c r="I124" s="12"/>
      <c r="J124" s="24" t="n">
        <f aca="false">IF(I124="",H124,I124)</f>
        <v>1</v>
      </c>
      <c r="K124" s="12"/>
      <c r="L124" s="24" t="n">
        <f aca="false">IF(K124="",Inputs!$B$20,K124)</f>
        <v>0.5</v>
      </c>
      <c r="M124" s="25" t="n">
        <f aca="false">IF(B124="AR",SQRT(Inputs!$B$9*F124/J124),IF(B124="AD",Inputs!$B$9*F124/(2*J124),2*Inputs!$B$9*F124/J124))</f>
        <v>0.00470090743184764</v>
      </c>
      <c r="N124" s="25" t="n">
        <f aca="false">IF(B124="AR",IF(Inputs!$B$25=0,SQRT(Inputs!$B$8*F124/J124),(-Inputs!$B$25+SQRT(Inputs!$B$25^2+4*(1-Inputs!$B$25)*Inputs!$B$8*F124/J124))/(2*(1-Inputs!$B$25))),IF(B124="AD",Inputs!$B$8*F124/(2*J124),2*Inputs!$B$8*F124/J124))</f>
        <v>0.00416319359719033</v>
      </c>
      <c r="O124" s="25" t="n">
        <f aca="false">MIN(Inputs!$B$26,M124*L124)</f>
        <v>0.00235045371592382</v>
      </c>
      <c r="P124" s="25" t="n">
        <f aca="false">MIN(Inputs!$B$26,O124*Inputs!$B$19)</f>
        <v>0.0235045371592382</v>
      </c>
      <c r="Q124" s="25" t="n">
        <f aca="false">MIN(O124,N124*Inputs!$B$21)</f>
        <v>0.000208159679859516</v>
      </c>
      <c r="R124" s="26"/>
      <c r="S124" s="26"/>
      <c r="T124" s="26"/>
      <c r="U124" s="20" t="str">
        <f aca="false">IF(COUNT(R124:T124)&gt;0,"Published spec (+calc where blank)","Calculated (this workbook)")</f>
        <v>Calculated (this workbook)</v>
      </c>
      <c r="V124" s="28" t="n">
        <f aca="false">IF(R124="",MAX(P124,W124),R124)</f>
        <v>0.0235045371592382</v>
      </c>
      <c r="W124" s="28" t="n">
        <f aca="false">IF(S124="",O124,S124)</f>
        <v>0.00235045371592382</v>
      </c>
      <c r="X124" s="28" t="n">
        <f aca="false">IF(T124="",Q124,T124)</f>
        <v>0.000208159679859516</v>
      </c>
      <c r="Y124" s="20" t="str">
        <f aca="false">IF(S124="","",IF(O124&lt;S124,"Calc STRICTER (lower)","Calc more lenient (higher)"))</f>
        <v/>
      </c>
      <c r="Z124" s="20" t="str">
        <f aca="false">IF(B124="XL","Hemizygous male AF (grpmax)","grpmax FAF95; check SAS, IndiGen, GenomeIndia")</f>
        <v>grpmax FAF95; check SAS, IndiGen, GenomeIndia</v>
      </c>
      <c r="AA124" s="20"/>
      <c r="AB124" s="20"/>
    </row>
    <row r="125" customFormat="false" ht="15" hidden="false" customHeight="false" outlineLevel="0" collapsed="false">
      <c r="A125" s="19" t="s">
        <v>267</v>
      </c>
      <c r="B125" s="20" t="s">
        <v>96</v>
      </c>
      <c r="C125" s="20" t="s">
        <v>156</v>
      </c>
      <c r="D125" s="21" t="n">
        <f aca="false">SUMIF(Indian_Gene_Shares!$B$5:$B$47,A125,Indian_Gene_Shares!$G$5:$G$47)</f>
        <v>0.0239646656534954</v>
      </c>
      <c r="E125" s="9" t="n">
        <f aca="false">IFERROR(INDEX(ARIDE_Cohort!$C$6:$C$207,MATCH(A125,ARIDE_Cohort!$A$6:$A$207,0)),0)</f>
        <v>0</v>
      </c>
      <c r="F125" s="22" t="n">
        <f aca="false">MAX(Inputs!$B$24,IF(AND(Inputs!$B$29="ARIDE cohort",ARIDE_Cohort!$B$3&gt;=Inputs!$B$30),E125,D125))</f>
        <v>0.0239646656534954</v>
      </c>
      <c r="G125" s="20" t="str">
        <f aca="false">IF(AND(Inputs!$B$29="ARIDE cohort",ARIDE_Cohort!$B$3&gt;=Inputs!$B$30),IF(E125&gt;Inputs!$B$24,"ARIDE cohort","Floor (ARIDE share below floor)"),IF(D125&gt;Inputs!$B$24,"Indian literature",IF(D125&gt;0,"Floor (Indian share below floor)","Floor (no Indian data)")))</f>
        <v>Indian literature</v>
      </c>
      <c r="H125" s="23" t="n">
        <f aca="false">IF(B125="AR",Inputs!$B$14,IF(B125="AD",Inputs!$B$15,Inputs!$B$16))</f>
        <v>1</v>
      </c>
      <c r="I125" s="12"/>
      <c r="J125" s="24" t="n">
        <f aca="false">IF(I125="",H125,I125)</f>
        <v>1</v>
      </c>
      <c r="K125" s="12"/>
      <c r="L125" s="24" t="n">
        <f aca="false">IF(K125="",Inputs!$B$20,K125)</f>
        <v>0.5</v>
      </c>
      <c r="M125" s="25" t="n">
        <f aca="false">IF(B125="AR",SQRT(Inputs!$B$9*F125/J125),IF(B125="AD",Inputs!$B$9*F125/(2*J125),2*Inputs!$B$9*F125/J125))</f>
        <v>0.00727725153644438</v>
      </c>
      <c r="N125" s="25" t="n">
        <f aca="false">IF(B125="AR",IF(Inputs!$B$25=0,SQRT(Inputs!$B$8*F125/J125),(-Inputs!$B$25+SQRT(Inputs!$B$25^2+4*(1-Inputs!$B$25)*Inputs!$B$8*F125/J125))/(2*(1-Inputs!$B$25))),IF(B125="AD",Inputs!$B$8*F125/(2*J125),2*Inputs!$B$8*F125/J125))</f>
        <v>0.00644484228649467</v>
      </c>
      <c r="O125" s="25" t="n">
        <f aca="false">MIN(Inputs!$B$26,M125*L125)</f>
        <v>0.00363862576822219</v>
      </c>
      <c r="P125" s="25" t="n">
        <f aca="false">MIN(Inputs!$B$26,O125*Inputs!$B$19)</f>
        <v>0.0363862576822219</v>
      </c>
      <c r="Q125" s="25" t="n">
        <f aca="false">MIN(O125,N125*Inputs!$B$21)</f>
        <v>0.000322242114324734</v>
      </c>
      <c r="R125" s="27" t="n">
        <v>0.005</v>
      </c>
      <c r="S125" s="27" t="n">
        <v>0.003</v>
      </c>
      <c r="T125" s="27" t="n">
        <v>7E-005</v>
      </c>
      <c r="U125" s="20" t="str">
        <f aca="false">IF(COUNT(R125:T125)&gt;0,"Published spec (+calc where blank)","Calculated (this workbook)")</f>
        <v>Published spec (+calc where blank)</v>
      </c>
      <c r="V125" s="28" t="n">
        <f aca="false">IF(R125="",MAX(P125,W125),R125)</f>
        <v>0.005</v>
      </c>
      <c r="W125" s="28" t="n">
        <f aca="false">IF(S125="",O125,S125)</f>
        <v>0.003</v>
      </c>
      <c r="X125" s="28" t="n">
        <f aca="false">IF(T125="",Q125,T125)</f>
        <v>7E-005</v>
      </c>
      <c r="Y125" s="20" t="str">
        <f aca="false">IF(S125="","",IF(O125&lt;S125,"Calc STRICTER (lower)","Calc more lenient (higher)"))</f>
        <v>Calc more lenient (higher)</v>
      </c>
      <c r="Z125" s="20" t="str">
        <f aca="false">IF(B125="XL","Hemizygous male AF (grpmax)","grpmax FAF95; check SAS, IndiGen, GenomeIndia")</f>
        <v>grpmax FAF95; check SAS, IndiGen, GenomeIndia</v>
      </c>
      <c r="AA125" s="20" t="s">
        <v>157</v>
      </c>
      <c r="AB125" s="20" t="s">
        <v>268</v>
      </c>
    </row>
    <row r="126" customFormat="false" ht="15" hidden="false" customHeight="false" outlineLevel="0" collapsed="false">
      <c r="A126" s="19" t="s">
        <v>269</v>
      </c>
      <c r="B126" s="20" t="s">
        <v>149</v>
      </c>
      <c r="C126" s="20" t="s">
        <v>270</v>
      </c>
      <c r="D126" s="21" t="n">
        <f aca="false">SUMIF(Indian_Gene_Shares!$B$5:$B$47,A126,Indian_Gene_Shares!$G$5:$G$47)</f>
        <v>0</v>
      </c>
      <c r="E126" s="9" t="n">
        <f aca="false">IFERROR(INDEX(ARIDE_Cohort!$C$6:$C$207,MATCH(A126,ARIDE_Cohort!$A$6:$A$207,0)),0)</f>
        <v>0</v>
      </c>
      <c r="F126" s="22" t="n">
        <f aca="false">MAX(Inputs!$B$24,IF(AND(Inputs!$B$29="ARIDE cohort",ARIDE_Cohort!$B$3&gt;=Inputs!$B$30),E126,D126))</f>
        <v>0.01</v>
      </c>
      <c r="G126" s="20" t="str">
        <f aca="false">IF(AND(Inputs!$B$29="ARIDE cohort",ARIDE_Cohort!$B$3&gt;=Inputs!$B$30),IF(E126&gt;Inputs!$B$24,"ARIDE cohort","Floor (ARIDE share below floor)"),IF(D126&gt;Inputs!$B$24,"Indian literature",IF(D126&gt;0,"Floor (Indian share below floor)","Floor (no Indian data)")))</f>
        <v>Floor (no Indian data)</v>
      </c>
      <c r="H126" s="23" t="n">
        <f aca="false">IF(B126="AR",Inputs!$B$14,IF(B126="AD",Inputs!$B$15,Inputs!$B$16))</f>
        <v>1</v>
      </c>
      <c r="I126" s="12"/>
      <c r="J126" s="24" t="n">
        <f aca="false">IF(I126="",H126,I126)</f>
        <v>1</v>
      </c>
      <c r="K126" s="12"/>
      <c r="L126" s="24" t="n">
        <f aca="false">IF(K126="",Inputs!$B$20,K126)</f>
        <v>0.5</v>
      </c>
      <c r="M126" s="25" t="n">
        <f aca="false">IF(B126="AR",SQRT(Inputs!$B$9*F126/J126),IF(B126="AD",Inputs!$B$9*F126/(2*J126),2*Inputs!$B$9*F126/J126))</f>
        <v>4.41970613656007E-005</v>
      </c>
      <c r="N126" s="25" t="n">
        <f aca="false">IF(B126="AR",IF(Inputs!$B$25=0,SQRT(Inputs!$B$8*F126/J126),(-Inputs!$B$25+SQRT(Inputs!$B$25^2+4*(1-Inputs!$B$25)*Inputs!$B$8*F126/J126))/(2*(1-Inputs!$B$25))),IF(B126="AD",Inputs!$B$8*F126/(2*J126),2*Inputs!$B$8*F126/J126))</f>
        <v>3.46643618553731E-005</v>
      </c>
      <c r="O126" s="25" t="n">
        <f aca="false">MIN(Inputs!$B$26,M126*L126)</f>
        <v>2.20985306828003E-005</v>
      </c>
      <c r="P126" s="25" t="n">
        <f aca="false">MIN(Inputs!$B$26,O126*Inputs!$B$19)</f>
        <v>0.000220985306828003</v>
      </c>
      <c r="Q126" s="25" t="n">
        <f aca="false">MIN(O126,N126*Inputs!$B$21)</f>
        <v>1.73321809276865E-006</v>
      </c>
      <c r="R126" s="26"/>
      <c r="S126" s="26"/>
      <c r="T126" s="26"/>
      <c r="U126" s="20" t="str">
        <f aca="false">IF(COUNT(R126:T126)&gt;0,"Published spec (+calc where blank)","Calculated (this workbook)")</f>
        <v>Calculated (this workbook)</v>
      </c>
      <c r="V126" s="28" t="n">
        <f aca="false">IF(R126="",MAX(P126,W126),R126)</f>
        <v>0.000220985306828003</v>
      </c>
      <c r="W126" s="28" t="n">
        <f aca="false">IF(S126="",O126,S126)</f>
        <v>2.20985306828003E-005</v>
      </c>
      <c r="X126" s="28" t="n">
        <f aca="false">IF(T126="",Q126,T126)</f>
        <v>1.73321809276865E-006</v>
      </c>
      <c r="Y126" s="20" t="str">
        <f aca="false">IF(S126="","",IF(O126&lt;S126,"Calc STRICTER (lower)","Calc more lenient (higher)"))</f>
        <v/>
      </c>
      <c r="Z126" s="20" t="str">
        <f aca="false">IF(B126="XL","Hemizygous male AF (grpmax)","grpmax FAF95; check SAS, IndiGen, GenomeIndia")</f>
        <v>Hemizygous male AF (grpmax)</v>
      </c>
      <c r="AA126" s="20"/>
      <c r="AB126" s="20"/>
    </row>
    <row r="127" customFormat="false" ht="15" hidden="false" customHeight="false" outlineLevel="0" collapsed="false">
      <c r="A127" s="19" t="s">
        <v>271</v>
      </c>
      <c r="B127" s="20" t="s">
        <v>96</v>
      </c>
      <c r="C127" s="20" t="s">
        <v>105</v>
      </c>
      <c r="D127" s="21" t="n">
        <f aca="false">SUMIF(Indian_Gene_Shares!$B$5:$B$47,A127,Indian_Gene_Shares!$G$5:$G$47)</f>
        <v>0</v>
      </c>
      <c r="E127" s="9" t="n">
        <f aca="false">IFERROR(INDEX(ARIDE_Cohort!$C$6:$C$207,MATCH(A127,ARIDE_Cohort!$A$6:$A$207,0)),0)</f>
        <v>0</v>
      </c>
      <c r="F127" s="22" t="n">
        <f aca="false">MAX(Inputs!$B$24,IF(AND(Inputs!$B$29="ARIDE cohort",ARIDE_Cohort!$B$3&gt;=Inputs!$B$30),E127,D127))</f>
        <v>0.01</v>
      </c>
      <c r="G127" s="20" t="str">
        <f aca="false">IF(AND(Inputs!$B$29="ARIDE cohort",ARIDE_Cohort!$B$3&gt;=Inputs!$B$30),IF(E127&gt;Inputs!$B$24,"ARIDE cohort","Floor (ARIDE share below floor)"),IF(D127&gt;Inputs!$B$24,"Indian literature",IF(D127&gt;0,"Floor (Indian share below floor)","Floor (no Indian data)")))</f>
        <v>Floor (no Indian data)</v>
      </c>
      <c r="H127" s="23" t="n">
        <f aca="false">IF(B127="AR",Inputs!$B$14,IF(B127="AD",Inputs!$B$15,Inputs!$B$16))</f>
        <v>1</v>
      </c>
      <c r="I127" s="12"/>
      <c r="J127" s="24" t="n">
        <f aca="false">IF(I127="",H127,I127)</f>
        <v>1</v>
      </c>
      <c r="K127" s="12"/>
      <c r="L127" s="24" t="n">
        <f aca="false">IF(K127="",Inputs!$B$20,K127)</f>
        <v>0.5</v>
      </c>
      <c r="M127" s="25" t="n">
        <f aca="false">IF(B127="AR",SQRT(Inputs!$B$9*F127/J127),IF(B127="AD",Inputs!$B$9*F127/(2*J127),2*Inputs!$B$9*F127/J127))</f>
        <v>0.00470090743184764</v>
      </c>
      <c r="N127" s="25" t="n">
        <f aca="false">IF(B127="AR",IF(Inputs!$B$25=0,SQRT(Inputs!$B$8*F127/J127),(-Inputs!$B$25+SQRT(Inputs!$B$25^2+4*(1-Inputs!$B$25)*Inputs!$B$8*F127/J127))/(2*(1-Inputs!$B$25))),IF(B127="AD",Inputs!$B$8*F127/(2*J127),2*Inputs!$B$8*F127/J127))</f>
        <v>0.00416319359719033</v>
      </c>
      <c r="O127" s="25" t="n">
        <f aca="false">MIN(Inputs!$B$26,M127*L127)</f>
        <v>0.00235045371592382</v>
      </c>
      <c r="P127" s="25" t="n">
        <f aca="false">MIN(Inputs!$B$26,O127*Inputs!$B$19)</f>
        <v>0.0235045371592382</v>
      </c>
      <c r="Q127" s="25" t="n">
        <f aca="false">MIN(O127,N127*Inputs!$B$21)</f>
        <v>0.000208159679859516</v>
      </c>
      <c r="R127" s="26"/>
      <c r="S127" s="26"/>
      <c r="T127" s="26"/>
      <c r="U127" s="20" t="str">
        <f aca="false">IF(COUNT(R127:T127)&gt;0,"Published spec (+calc where blank)","Calculated (this workbook)")</f>
        <v>Calculated (this workbook)</v>
      </c>
      <c r="V127" s="28" t="n">
        <f aca="false">IF(R127="",MAX(P127,W127),R127)</f>
        <v>0.0235045371592382</v>
      </c>
      <c r="W127" s="28" t="n">
        <f aca="false">IF(S127="",O127,S127)</f>
        <v>0.00235045371592382</v>
      </c>
      <c r="X127" s="28" t="n">
        <f aca="false">IF(T127="",Q127,T127)</f>
        <v>0.000208159679859516</v>
      </c>
      <c r="Y127" s="20" t="str">
        <f aca="false">IF(S127="","",IF(O127&lt;S127,"Calc STRICTER (lower)","Calc more lenient (higher)"))</f>
        <v/>
      </c>
      <c r="Z127" s="20" t="str">
        <f aca="false">IF(B127="XL","Hemizygous male AF (grpmax)","grpmax FAF95; check SAS, IndiGen, GenomeIndia")</f>
        <v>grpmax FAF95; check SAS, IndiGen, GenomeIndia</v>
      </c>
      <c r="AA127" s="20"/>
      <c r="AB127" s="20"/>
    </row>
    <row r="128" customFormat="false" ht="15" hidden="false" customHeight="false" outlineLevel="0" collapsed="false">
      <c r="A128" s="19" t="s">
        <v>272</v>
      </c>
      <c r="B128" s="20" t="s">
        <v>96</v>
      </c>
      <c r="C128" s="20" t="s">
        <v>115</v>
      </c>
      <c r="D128" s="21" t="n">
        <f aca="false">SUMIF(Indian_Gene_Shares!$B$5:$B$47,A128,Indian_Gene_Shares!$G$5:$G$47)</f>
        <v>0</v>
      </c>
      <c r="E128" s="9" t="n">
        <f aca="false">IFERROR(INDEX(ARIDE_Cohort!$C$6:$C$207,MATCH(A128,ARIDE_Cohort!$A$6:$A$207,0)),0)</f>
        <v>0</v>
      </c>
      <c r="F128" s="22" t="n">
        <f aca="false">MAX(Inputs!$B$24,IF(AND(Inputs!$B$29="ARIDE cohort",ARIDE_Cohort!$B$3&gt;=Inputs!$B$30),E128,D128))</f>
        <v>0.01</v>
      </c>
      <c r="G128" s="20" t="str">
        <f aca="false">IF(AND(Inputs!$B$29="ARIDE cohort",ARIDE_Cohort!$B$3&gt;=Inputs!$B$30),IF(E128&gt;Inputs!$B$24,"ARIDE cohort","Floor (ARIDE share below floor)"),IF(D128&gt;Inputs!$B$24,"Indian literature",IF(D128&gt;0,"Floor (Indian share below floor)","Floor (no Indian data)")))</f>
        <v>Floor (no Indian data)</v>
      </c>
      <c r="H128" s="23" t="n">
        <f aca="false">IF(B128="AR",Inputs!$B$14,IF(B128="AD",Inputs!$B$15,Inputs!$B$16))</f>
        <v>1</v>
      </c>
      <c r="I128" s="12"/>
      <c r="J128" s="24" t="n">
        <f aca="false">IF(I128="",H128,I128)</f>
        <v>1</v>
      </c>
      <c r="K128" s="12"/>
      <c r="L128" s="24" t="n">
        <f aca="false">IF(K128="",Inputs!$B$20,K128)</f>
        <v>0.5</v>
      </c>
      <c r="M128" s="25" t="n">
        <f aca="false">IF(B128="AR",SQRT(Inputs!$B$9*F128/J128),IF(B128="AD",Inputs!$B$9*F128/(2*J128),2*Inputs!$B$9*F128/J128))</f>
        <v>0.00470090743184764</v>
      </c>
      <c r="N128" s="25" t="n">
        <f aca="false">IF(B128="AR",IF(Inputs!$B$25=0,SQRT(Inputs!$B$8*F128/J128),(-Inputs!$B$25+SQRT(Inputs!$B$25^2+4*(1-Inputs!$B$25)*Inputs!$B$8*F128/J128))/(2*(1-Inputs!$B$25))),IF(B128="AD",Inputs!$B$8*F128/(2*J128),2*Inputs!$B$8*F128/J128))</f>
        <v>0.00416319359719033</v>
      </c>
      <c r="O128" s="25" t="n">
        <f aca="false">MIN(Inputs!$B$26,M128*L128)</f>
        <v>0.00235045371592382</v>
      </c>
      <c r="P128" s="25" t="n">
        <f aca="false">MIN(Inputs!$B$26,O128*Inputs!$B$19)</f>
        <v>0.0235045371592382</v>
      </c>
      <c r="Q128" s="25" t="n">
        <f aca="false">MIN(O128,N128*Inputs!$B$21)</f>
        <v>0.000208159679859516</v>
      </c>
      <c r="R128" s="26"/>
      <c r="S128" s="26"/>
      <c r="T128" s="26"/>
      <c r="U128" s="20" t="str">
        <f aca="false">IF(COUNT(R128:T128)&gt;0,"Published spec (+calc where blank)","Calculated (this workbook)")</f>
        <v>Calculated (this workbook)</v>
      </c>
      <c r="V128" s="28" t="n">
        <f aca="false">IF(R128="",MAX(P128,W128),R128)</f>
        <v>0.0235045371592382</v>
      </c>
      <c r="W128" s="28" t="n">
        <f aca="false">IF(S128="",O128,S128)</f>
        <v>0.00235045371592382</v>
      </c>
      <c r="X128" s="28" t="n">
        <f aca="false">IF(T128="",Q128,T128)</f>
        <v>0.000208159679859516</v>
      </c>
      <c r="Y128" s="20" t="str">
        <f aca="false">IF(S128="","",IF(O128&lt;S128,"Calc STRICTER (lower)","Calc more lenient (higher)"))</f>
        <v/>
      </c>
      <c r="Z128" s="20" t="str">
        <f aca="false">IF(B128="XL","Hemizygous male AF (grpmax)","grpmax FAF95; check SAS, IndiGen, GenomeIndia")</f>
        <v>grpmax FAF95; check SAS, IndiGen, GenomeIndia</v>
      </c>
      <c r="AA128" s="20"/>
      <c r="AB128" s="20"/>
    </row>
    <row r="129" customFormat="false" ht="15" hidden="false" customHeight="false" outlineLevel="0" collapsed="false">
      <c r="A129" s="19" t="s">
        <v>273</v>
      </c>
      <c r="B129" s="20" t="s">
        <v>96</v>
      </c>
      <c r="C129" s="20" t="s">
        <v>274</v>
      </c>
      <c r="D129" s="21" t="n">
        <f aca="false">SUMIF(Indian_Gene_Shares!$B$5:$B$47,A129,Indian_Gene_Shares!$G$5:$G$47)</f>
        <v>0.000110761778115502</v>
      </c>
      <c r="E129" s="9" t="n">
        <f aca="false">IFERROR(INDEX(ARIDE_Cohort!$C$6:$C$207,MATCH(A129,ARIDE_Cohort!$A$6:$A$207,0)),0)</f>
        <v>0</v>
      </c>
      <c r="F129" s="22" t="n">
        <f aca="false">MAX(Inputs!$B$24,IF(AND(Inputs!$B$29="ARIDE cohort",ARIDE_Cohort!$B$3&gt;=Inputs!$B$30),E129,D129))</f>
        <v>0.01</v>
      </c>
      <c r="G129" s="20" t="str">
        <f aca="false">IF(AND(Inputs!$B$29="ARIDE cohort",ARIDE_Cohort!$B$3&gt;=Inputs!$B$30),IF(E129&gt;Inputs!$B$24,"ARIDE cohort","Floor (ARIDE share below floor)"),IF(D129&gt;Inputs!$B$24,"Indian literature",IF(D129&gt;0,"Floor (Indian share below floor)","Floor (no Indian data)")))</f>
        <v>Floor (Indian share below floor)</v>
      </c>
      <c r="H129" s="23" t="n">
        <f aca="false">IF(B129="AR",Inputs!$B$14,IF(B129="AD",Inputs!$B$15,Inputs!$B$16))</f>
        <v>1</v>
      </c>
      <c r="I129" s="12"/>
      <c r="J129" s="24" t="n">
        <f aca="false">IF(I129="",H129,I129)</f>
        <v>1</v>
      </c>
      <c r="K129" s="12"/>
      <c r="L129" s="24" t="n">
        <f aca="false">IF(K129="",Inputs!$B$20,K129)</f>
        <v>0.5</v>
      </c>
      <c r="M129" s="25" t="n">
        <f aca="false">IF(B129="AR",SQRT(Inputs!$B$9*F129/J129),IF(B129="AD",Inputs!$B$9*F129/(2*J129),2*Inputs!$B$9*F129/J129))</f>
        <v>0.00470090743184764</v>
      </c>
      <c r="N129" s="25" t="n">
        <f aca="false">IF(B129="AR",IF(Inputs!$B$25=0,SQRT(Inputs!$B$8*F129/J129),(-Inputs!$B$25+SQRT(Inputs!$B$25^2+4*(1-Inputs!$B$25)*Inputs!$B$8*F129/J129))/(2*(1-Inputs!$B$25))),IF(B129="AD",Inputs!$B$8*F129/(2*J129),2*Inputs!$B$8*F129/J129))</f>
        <v>0.00416319359719033</v>
      </c>
      <c r="O129" s="25" t="n">
        <f aca="false">MIN(Inputs!$B$26,M129*L129)</f>
        <v>0.00235045371592382</v>
      </c>
      <c r="P129" s="25" t="n">
        <f aca="false">MIN(Inputs!$B$26,O129*Inputs!$B$19)</f>
        <v>0.0235045371592382</v>
      </c>
      <c r="Q129" s="25" t="n">
        <f aca="false">MIN(O129,N129*Inputs!$B$21)</f>
        <v>0.000208159679859516</v>
      </c>
      <c r="R129" s="26"/>
      <c r="S129" s="26"/>
      <c r="T129" s="26"/>
      <c r="U129" s="20" t="str">
        <f aca="false">IF(COUNT(R129:T129)&gt;0,"Published spec (+calc where blank)","Calculated (this workbook)")</f>
        <v>Calculated (this workbook)</v>
      </c>
      <c r="V129" s="28" t="n">
        <f aca="false">IF(R129="",MAX(P129,W129),R129)</f>
        <v>0.0235045371592382</v>
      </c>
      <c r="W129" s="28" t="n">
        <f aca="false">IF(S129="",O129,S129)</f>
        <v>0.00235045371592382</v>
      </c>
      <c r="X129" s="28" t="n">
        <f aca="false">IF(T129="",Q129,T129)</f>
        <v>0.000208159679859516</v>
      </c>
      <c r="Y129" s="20" t="str">
        <f aca="false">IF(S129="","",IF(O129&lt;S129,"Calc STRICTER (lower)","Calc more lenient (higher)"))</f>
        <v/>
      </c>
      <c r="Z129" s="20" t="str">
        <f aca="false">IF(B129="XL","Hemizygous male AF (grpmax)","grpmax FAF95; check SAS, IndiGen, GenomeIndia")</f>
        <v>grpmax FAF95; check SAS, IndiGen, GenomeIndia</v>
      </c>
      <c r="AA129" s="20"/>
      <c r="AB129" s="20"/>
    </row>
    <row r="130" customFormat="false" ht="15" hidden="false" customHeight="false" outlineLevel="0" collapsed="false">
      <c r="A130" s="19" t="s">
        <v>275</v>
      </c>
      <c r="B130" s="20" t="s">
        <v>96</v>
      </c>
      <c r="C130" s="20" t="s">
        <v>276</v>
      </c>
      <c r="D130" s="21" t="n">
        <f aca="false">SUMIF(Indian_Gene_Shares!$B$5:$B$47,A130,Indian_Gene_Shares!$G$5:$G$47)</f>
        <v>0</v>
      </c>
      <c r="E130" s="9" t="n">
        <f aca="false">IFERROR(INDEX(ARIDE_Cohort!$C$6:$C$207,MATCH(A130,ARIDE_Cohort!$A$6:$A$207,0)),0)</f>
        <v>0</v>
      </c>
      <c r="F130" s="22" t="n">
        <f aca="false">MAX(Inputs!$B$24,IF(AND(Inputs!$B$29="ARIDE cohort",ARIDE_Cohort!$B$3&gt;=Inputs!$B$30),E130,D130))</f>
        <v>0.01</v>
      </c>
      <c r="G130" s="20" t="str">
        <f aca="false">IF(AND(Inputs!$B$29="ARIDE cohort",ARIDE_Cohort!$B$3&gt;=Inputs!$B$30),IF(E130&gt;Inputs!$B$24,"ARIDE cohort","Floor (ARIDE share below floor)"),IF(D130&gt;Inputs!$B$24,"Indian literature",IF(D130&gt;0,"Floor (Indian share below floor)","Floor (no Indian data)")))</f>
        <v>Floor (no Indian data)</v>
      </c>
      <c r="H130" s="23" t="n">
        <f aca="false">IF(B130="AR",Inputs!$B$14,IF(B130="AD",Inputs!$B$15,Inputs!$B$16))</f>
        <v>1</v>
      </c>
      <c r="I130" s="12"/>
      <c r="J130" s="24" t="n">
        <f aca="false">IF(I130="",H130,I130)</f>
        <v>1</v>
      </c>
      <c r="K130" s="12"/>
      <c r="L130" s="24" t="n">
        <f aca="false">IF(K130="",Inputs!$B$20,K130)</f>
        <v>0.5</v>
      </c>
      <c r="M130" s="25" t="n">
        <f aca="false">IF(B130="AR",SQRT(Inputs!$B$9*F130/J130),IF(B130="AD",Inputs!$B$9*F130/(2*J130),2*Inputs!$B$9*F130/J130))</f>
        <v>0.00470090743184764</v>
      </c>
      <c r="N130" s="25" t="n">
        <f aca="false">IF(B130="AR",IF(Inputs!$B$25=0,SQRT(Inputs!$B$8*F130/J130),(-Inputs!$B$25+SQRT(Inputs!$B$25^2+4*(1-Inputs!$B$25)*Inputs!$B$8*F130/J130))/(2*(1-Inputs!$B$25))),IF(B130="AD",Inputs!$B$8*F130/(2*J130),2*Inputs!$B$8*F130/J130))</f>
        <v>0.00416319359719033</v>
      </c>
      <c r="O130" s="25" t="n">
        <f aca="false">MIN(Inputs!$B$26,M130*L130)</f>
        <v>0.00235045371592382</v>
      </c>
      <c r="P130" s="25" t="n">
        <f aca="false">MIN(Inputs!$B$26,O130*Inputs!$B$19)</f>
        <v>0.0235045371592382</v>
      </c>
      <c r="Q130" s="25" t="n">
        <f aca="false">MIN(O130,N130*Inputs!$B$21)</f>
        <v>0.000208159679859516</v>
      </c>
      <c r="R130" s="26"/>
      <c r="S130" s="26"/>
      <c r="T130" s="26"/>
      <c r="U130" s="20" t="str">
        <f aca="false">IF(COUNT(R130:T130)&gt;0,"Published spec (+calc where blank)","Calculated (this workbook)")</f>
        <v>Calculated (this workbook)</v>
      </c>
      <c r="V130" s="28" t="n">
        <f aca="false">IF(R130="",MAX(P130,W130),R130)</f>
        <v>0.0235045371592382</v>
      </c>
      <c r="W130" s="28" t="n">
        <f aca="false">IF(S130="",O130,S130)</f>
        <v>0.00235045371592382</v>
      </c>
      <c r="X130" s="28" t="n">
        <f aca="false">IF(T130="",Q130,T130)</f>
        <v>0.000208159679859516</v>
      </c>
      <c r="Y130" s="20" t="str">
        <f aca="false">IF(S130="","",IF(O130&lt;S130,"Calc STRICTER (lower)","Calc more lenient (higher)"))</f>
        <v/>
      </c>
      <c r="Z130" s="20" t="str">
        <f aca="false">IF(B130="XL","Hemizygous male AF (grpmax)","grpmax FAF95; check SAS, IndiGen, GenomeIndia")</f>
        <v>grpmax FAF95; check SAS, IndiGen, GenomeIndia</v>
      </c>
      <c r="AA130" s="20"/>
      <c r="AB130" s="20"/>
    </row>
    <row r="131" customFormat="false" ht="15" hidden="false" customHeight="false" outlineLevel="0" collapsed="false">
      <c r="A131" s="19" t="s">
        <v>277</v>
      </c>
      <c r="B131" s="20" t="s">
        <v>96</v>
      </c>
      <c r="C131" s="20" t="s">
        <v>276</v>
      </c>
      <c r="D131" s="21" t="n">
        <f aca="false">SUMIF(Indian_Gene_Shares!$B$5:$B$47,A131,Indian_Gene_Shares!$G$5:$G$47)</f>
        <v>0</v>
      </c>
      <c r="E131" s="9" t="n">
        <f aca="false">IFERROR(INDEX(ARIDE_Cohort!$C$6:$C$207,MATCH(A131,ARIDE_Cohort!$A$6:$A$207,0)),0)</f>
        <v>0</v>
      </c>
      <c r="F131" s="22" t="n">
        <f aca="false">MAX(Inputs!$B$24,IF(AND(Inputs!$B$29="ARIDE cohort",ARIDE_Cohort!$B$3&gt;=Inputs!$B$30),E131,D131))</f>
        <v>0.01</v>
      </c>
      <c r="G131" s="20" t="str">
        <f aca="false">IF(AND(Inputs!$B$29="ARIDE cohort",ARIDE_Cohort!$B$3&gt;=Inputs!$B$30),IF(E131&gt;Inputs!$B$24,"ARIDE cohort","Floor (ARIDE share below floor)"),IF(D131&gt;Inputs!$B$24,"Indian literature",IF(D131&gt;0,"Floor (Indian share below floor)","Floor (no Indian data)")))</f>
        <v>Floor (no Indian data)</v>
      </c>
      <c r="H131" s="23" t="n">
        <f aca="false">IF(B131="AR",Inputs!$B$14,IF(B131="AD",Inputs!$B$15,Inputs!$B$16))</f>
        <v>1</v>
      </c>
      <c r="I131" s="12"/>
      <c r="J131" s="24" t="n">
        <f aca="false">IF(I131="",H131,I131)</f>
        <v>1</v>
      </c>
      <c r="K131" s="12"/>
      <c r="L131" s="24" t="n">
        <f aca="false">IF(K131="",Inputs!$B$20,K131)</f>
        <v>0.5</v>
      </c>
      <c r="M131" s="25" t="n">
        <f aca="false">IF(B131="AR",SQRT(Inputs!$B$9*F131/J131),IF(B131="AD",Inputs!$B$9*F131/(2*J131),2*Inputs!$B$9*F131/J131))</f>
        <v>0.00470090743184764</v>
      </c>
      <c r="N131" s="25" t="n">
        <f aca="false">IF(B131="AR",IF(Inputs!$B$25=0,SQRT(Inputs!$B$8*F131/J131),(-Inputs!$B$25+SQRT(Inputs!$B$25^2+4*(1-Inputs!$B$25)*Inputs!$B$8*F131/J131))/(2*(1-Inputs!$B$25))),IF(B131="AD",Inputs!$B$8*F131/(2*J131),2*Inputs!$B$8*F131/J131))</f>
        <v>0.00416319359719033</v>
      </c>
      <c r="O131" s="25" t="n">
        <f aca="false">MIN(Inputs!$B$26,M131*L131)</f>
        <v>0.00235045371592382</v>
      </c>
      <c r="P131" s="25" t="n">
        <f aca="false">MIN(Inputs!$B$26,O131*Inputs!$B$19)</f>
        <v>0.0235045371592382</v>
      </c>
      <c r="Q131" s="25" t="n">
        <f aca="false">MIN(O131,N131*Inputs!$B$21)</f>
        <v>0.000208159679859516</v>
      </c>
      <c r="R131" s="26"/>
      <c r="S131" s="26"/>
      <c r="T131" s="26"/>
      <c r="U131" s="20" t="str">
        <f aca="false">IF(COUNT(R131:T131)&gt;0,"Published spec (+calc where blank)","Calculated (this workbook)")</f>
        <v>Calculated (this workbook)</v>
      </c>
      <c r="V131" s="28" t="n">
        <f aca="false">IF(R131="",MAX(P131,W131),R131)</f>
        <v>0.0235045371592382</v>
      </c>
      <c r="W131" s="28" t="n">
        <f aca="false">IF(S131="",O131,S131)</f>
        <v>0.00235045371592382</v>
      </c>
      <c r="X131" s="28" t="n">
        <f aca="false">IF(T131="",Q131,T131)</f>
        <v>0.000208159679859516</v>
      </c>
      <c r="Y131" s="20" t="str">
        <f aca="false">IF(S131="","",IF(O131&lt;S131,"Calc STRICTER (lower)","Calc more lenient (higher)"))</f>
        <v/>
      </c>
      <c r="Z131" s="20" t="str">
        <f aca="false">IF(B131="XL","Hemizygous male AF (grpmax)","grpmax FAF95; check SAS, IndiGen, GenomeIndia")</f>
        <v>grpmax FAF95; check SAS, IndiGen, GenomeIndia</v>
      </c>
      <c r="AA131" s="20"/>
      <c r="AB131" s="20"/>
    </row>
    <row r="132" customFormat="false" ht="15" hidden="false" customHeight="false" outlineLevel="0" collapsed="false">
      <c r="A132" s="19" t="s">
        <v>278</v>
      </c>
      <c r="B132" s="20" t="s">
        <v>96</v>
      </c>
      <c r="C132" s="20" t="s">
        <v>279</v>
      </c>
      <c r="D132" s="21" t="n">
        <f aca="false">SUMIF(Indian_Gene_Shares!$B$5:$B$47,A132,Indian_Gene_Shares!$G$5:$G$47)</f>
        <v>0</v>
      </c>
      <c r="E132" s="9" t="n">
        <f aca="false">IFERROR(INDEX(ARIDE_Cohort!$C$6:$C$207,MATCH(A132,ARIDE_Cohort!$A$6:$A$207,0)),0)</f>
        <v>0</v>
      </c>
      <c r="F132" s="22" t="n">
        <f aca="false">MAX(Inputs!$B$24,IF(AND(Inputs!$B$29="ARIDE cohort",ARIDE_Cohort!$B$3&gt;=Inputs!$B$30),E132,D132))</f>
        <v>0.01</v>
      </c>
      <c r="G132" s="20" t="str">
        <f aca="false">IF(AND(Inputs!$B$29="ARIDE cohort",ARIDE_Cohort!$B$3&gt;=Inputs!$B$30),IF(E132&gt;Inputs!$B$24,"ARIDE cohort","Floor (ARIDE share below floor)"),IF(D132&gt;Inputs!$B$24,"Indian literature",IF(D132&gt;0,"Floor (Indian share below floor)","Floor (no Indian data)")))</f>
        <v>Floor (no Indian data)</v>
      </c>
      <c r="H132" s="23" t="n">
        <f aca="false">IF(B132="AR",Inputs!$B$14,IF(B132="AD",Inputs!$B$15,Inputs!$B$16))</f>
        <v>1</v>
      </c>
      <c r="I132" s="12"/>
      <c r="J132" s="24" t="n">
        <f aca="false">IF(I132="",H132,I132)</f>
        <v>1</v>
      </c>
      <c r="K132" s="12"/>
      <c r="L132" s="24" t="n">
        <f aca="false">IF(K132="",Inputs!$B$20,K132)</f>
        <v>0.5</v>
      </c>
      <c r="M132" s="25" t="n">
        <f aca="false">IF(B132="AR",SQRT(Inputs!$B$9*F132/J132),IF(B132="AD",Inputs!$B$9*F132/(2*J132),2*Inputs!$B$9*F132/J132))</f>
        <v>0.00470090743184764</v>
      </c>
      <c r="N132" s="25" t="n">
        <f aca="false">IF(B132="AR",IF(Inputs!$B$25=0,SQRT(Inputs!$B$8*F132/J132),(-Inputs!$B$25+SQRT(Inputs!$B$25^2+4*(1-Inputs!$B$25)*Inputs!$B$8*F132/J132))/(2*(1-Inputs!$B$25))),IF(B132="AD",Inputs!$B$8*F132/(2*J132),2*Inputs!$B$8*F132/J132))</f>
        <v>0.00416319359719033</v>
      </c>
      <c r="O132" s="25" t="n">
        <f aca="false">MIN(Inputs!$B$26,M132*L132)</f>
        <v>0.00235045371592382</v>
      </c>
      <c r="P132" s="25" t="n">
        <f aca="false">MIN(Inputs!$B$26,O132*Inputs!$B$19)</f>
        <v>0.0235045371592382</v>
      </c>
      <c r="Q132" s="25" t="n">
        <f aca="false">MIN(O132,N132*Inputs!$B$21)</f>
        <v>0.000208159679859516</v>
      </c>
      <c r="R132" s="26"/>
      <c r="S132" s="26"/>
      <c r="T132" s="26"/>
      <c r="U132" s="20" t="str">
        <f aca="false">IF(COUNT(R132:T132)&gt;0,"Published spec (+calc where blank)","Calculated (this workbook)")</f>
        <v>Calculated (this workbook)</v>
      </c>
      <c r="V132" s="28" t="n">
        <f aca="false">IF(R132="",MAX(P132,W132),R132)</f>
        <v>0.0235045371592382</v>
      </c>
      <c r="W132" s="28" t="n">
        <f aca="false">IF(S132="",O132,S132)</f>
        <v>0.00235045371592382</v>
      </c>
      <c r="X132" s="28" t="n">
        <f aca="false">IF(T132="",Q132,T132)</f>
        <v>0.000208159679859516</v>
      </c>
      <c r="Y132" s="20" t="str">
        <f aca="false">IF(S132="","",IF(O132&lt;S132,"Calc STRICTER (lower)","Calc more lenient (higher)"))</f>
        <v/>
      </c>
      <c r="Z132" s="20" t="str">
        <f aca="false">IF(B132="XL","Hemizygous male AF (grpmax)","grpmax FAF95; check SAS, IndiGen, GenomeIndia")</f>
        <v>grpmax FAF95; check SAS, IndiGen, GenomeIndia</v>
      </c>
      <c r="AA132" s="20"/>
      <c r="AB132" s="20"/>
    </row>
    <row r="133" customFormat="false" ht="15" hidden="false" customHeight="false" outlineLevel="0" collapsed="false">
      <c r="A133" s="19" t="s">
        <v>278</v>
      </c>
      <c r="B133" s="20" t="s">
        <v>109</v>
      </c>
      <c r="C133" s="20" t="s">
        <v>105</v>
      </c>
      <c r="D133" s="21" t="n">
        <f aca="false">SUMIF(Indian_Gene_Shares!$B$5:$B$47,A133,Indian_Gene_Shares!$G$5:$G$47)</f>
        <v>0</v>
      </c>
      <c r="E133" s="9" t="n">
        <f aca="false">IFERROR(INDEX(ARIDE_Cohort!$C$6:$C$207,MATCH(A133,ARIDE_Cohort!$A$6:$A$207,0)),0)</f>
        <v>0</v>
      </c>
      <c r="F133" s="22" t="n">
        <f aca="false">MAX(Inputs!$B$24,IF(AND(Inputs!$B$29="ARIDE cohort",ARIDE_Cohort!$B$3&gt;=Inputs!$B$30),E133,D133))</f>
        <v>0.01</v>
      </c>
      <c r="G133" s="20" t="str">
        <f aca="false">IF(AND(Inputs!$B$29="ARIDE cohort",ARIDE_Cohort!$B$3&gt;=Inputs!$B$30),IF(E133&gt;Inputs!$B$24,"ARIDE cohort","Floor (ARIDE share below floor)"),IF(D133&gt;Inputs!$B$24,"Indian literature",IF(D133&gt;0,"Floor (Indian share below floor)","Floor (no Indian data)")))</f>
        <v>Floor (no Indian data)</v>
      </c>
      <c r="H133" s="23" t="n">
        <f aca="false">IF(B133="AR",Inputs!$B$14,IF(B133="AD",Inputs!$B$15,Inputs!$B$16))</f>
        <v>0.5</v>
      </c>
      <c r="I133" s="12"/>
      <c r="J133" s="24" t="n">
        <f aca="false">IF(I133="",H133,I133)</f>
        <v>0.5</v>
      </c>
      <c r="K133" s="12"/>
      <c r="L133" s="24" t="n">
        <f aca="false">IF(K133="",Inputs!$B$20,K133)</f>
        <v>0.5</v>
      </c>
      <c r="M133" s="25" t="n">
        <f aca="false">IF(B133="AR",SQRT(Inputs!$B$9*F133/J133),IF(B133="AD",Inputs!$B$9*F133/(2*J133),2*Inputs!$B$9*F133/J133))</f>
        <v>2.20985306828003E-005</v>
      </c>
      <c r="N133" s="25" t="n">
        <f aca="false">IF(B133="AR",IF(Inputs!$B$25=0,SQRT(Inputs!$B$8*F133/J133),(-Inputs!$B$25+SQRT(Inputs!$B$25^2+4*(1-Inputs!$B$25)*Inputs!$B$8*F133/J133))/(2*(1-Inputs!$B$25))),IF(B133="AD",Inputs!$B$8*F133/(2*J133),2*Inputs!$B$8*F133/J133))</f>
        <v>1.73321809276865E-005</v>
      </c>
      <c r="O133" s="25" t="n">
        <f aca="false">MIN(Inputs!$B$26,M133*L133)</f>
        <v>1.10492653414002E-005</v>
      </c>
      <c r="P133" s="25" t="n">
        <f aca="false">MIN(Inputs!$B$26,O133*Inputs!$B$19)</f>
        <v>0.000110492653414002</v>
      </c>
      <c r="Q133" s="25" t="n">
        <f aca="false">MIN(O133,N133*Inputs!$B$21)</f>
        <v>8.66609046384327E-007</v>
      </c>
      <c r="R133" s="26"/>
      <c r="S133" s="26"/>
      <c r="T133" s="26"/>
      <c r="U133" s="20" t="str">
        <f aca="false">IF(COUNT(R133:T133)&gt;0,"Published spec (+calc where blank)","Calculated (this workbook)")</f>
        <v>Calculated (this workbook)</v>
      </c>
      <c r="V133" s="28" t="n">
        <f aca="false">IF(R133="",MAX(P133,W133),R133)</f>
        <v>0.000110492653414002</v>
      </c>
      <c r="W133" s="28" t="n">
        <f aca="false">IF(S133="",O133,S133)</f>
        <v>1.10492653414002E-005</v>
      </c>
      <c r="X133" s="28" t="n">
        <f aca="false">IF(T133="",Q133,T133)</f>
        <v>8.66609046384327E-007</v>
      </c>
      <c r="Y133" s="20" t="str">
        <f aca="false">IF(S133="","",IF(O133&lt;S133,"Calc STRICTER (lower)","Calc more lenient (higher)"))</f>
        <v/>
      </c>
      <c r="Z133" s="20" t="str">
        <f aca="false">IF(B133="XL","Hemizygous male AF (grpmax)","grpmax FAF95; check SAS, IndiGen, GenomeIndia")</f>
        <v>grpmax FAF95; check SAS, IndiGen, GenomeIndia</v>
      </c>
      <c r="AA133" s="20"/>
      <c r="AB133" s="20"/>
    </row>
    <row r="134" customFormat="false" ht="15" hidden="false" customHeight="false" outlineLevel="0" collapsed="false">
      <c r="A134" s="19" t="s">
        <v>280</v>
      </c>
      <c r="B134" s="20" t="s">
        <v>109</v>
      </c>
      <c r="C134" s="20" t="s">
        <v>105</v>
      </c>
      <c r="D134" s="21" t="n">
        <f aca="false">SUMIF(Indian_Gene_Shares!$B$5:$B$47,A134,Indian_Gene_Shares!$G$5:$G$47)</f>
        <v>0</v>
      </c>
      <c r="E134" s="9" t="n">
        <f aca="false">IFERROR(INDEX(ARIDE_Cohort!$C$6:$C$207,MATCH(A134,ARIDE_Cohort!$A$6:$A$207,0)),0)</f>
        <v>0</v>
      </c>
      <c r="F134" s="22" t="n">
        <f aca="false">MAX(Inputs!$B$24,IF(AND(Inputs!$B$29="ARIDE cohort",ARIDE_Cohort!$B$3&gt;=Inputs!$B$30),E134,D134))</f>
        <v>0.01</v>
      </c>
      <c r="G134" s="20" t="str">
        <f aca="false">IF(AND(Inputs!$B$29="ARIDE cohort",ARIDE_Cohort!$B$3&gt;=Inputs!$B$30),IF(E134&gt;Inputs!$B$24,"ARIDE cohort","Floor (ARIDE share below floor)"),IF(D134&gt;Inputs!$B$24,"Indian literature",IF(D134&gt;0,"Floor (Indian share below floor)","Floor (no Indian data)")))</f>
        <v>Floor (no Indian data)</v>
      </c>
      <c r="H134" s="23" t="n">
        <f aca="false">IF(B134="AR",Inputs!$B$14,IF(B134="AD",Inputs!$B$15,Inputs!$B$16))</f>
        <v>0.5</v>
      </c>
      <c r="I134" s="12"/>
      <c r="J134" s="24" t="n">
        <f aca="false">IF(I134="",H134,I134)</f>
        <v>0.5</v>
      </c>
      <c r="K134" s="12"/>
      <c r="L134" s="24" t="n">
        <f aca="false">IF(K134="",Inputs!$B$20,K134)</f>
        <v>0.5</v>
      </c>
      <c r="M134" s="25" t="n">
        <f aca="false">IF(B134="AR",SQRT(Inputs!$B$9*F134/J134),IF(B134="AD",Inputs!$B$9*F134/(2*J134),2*Inputs!$B$9*F134/J134))</f>
        <v>2.20985306828003E-005</v>
      </c>
      <c r="N134" s="25" t="n">
        <f aca="false">IF(B134="AR",IF(Inputs!$B$25=0,SQRT(Inputs!$B$8*F134/J134),(-Inputs!$B$25+SQRT(Inputs!$B$25^2+4*(1-Inputs!$B$25)*Inputs!$B$8*F134/J134))/(2*(1-Inputs!$B$25))),IF(B134="AD",Inputs!$B$8*F134/(2*J134),2*Inputs!$B$8*F134/J134))</f>
        <v>1.73321809276865E-005</v>
      </c>
      <c r="O134" s="25" t="n">
        <f aca="false">MIN(Inputs!$B$26,M134*L134)</f>
        <v>1.10492653414002E-005</v>
      </c>
      <c r="P134" s="25" t="n">
        <f aca="false">MIN(Inputs!$B$26,O134*Inputs!$B$19)</f>
        <v>0.000110492653414002</v>
      </c>
      <c r="Q134" s="25" t="n">
        <f aca="false">MIN(O134,N134*Inputs!$B$21)</f>
        <v>8.66609046384327E-007</v>
      </c>
      <c r="R134" s="26"/>
      <c r="S134" s="26"/>
      <c r="T134" s="26"/>
      <c r="U134" s="20" t="str">
        <f aca="false">IF(COUNT(R134:T134)&gt;0,"Published spec (+calc where blank)","Calculated (this workbook)")</f>
        <v>Calculated (this workbook)</v>
      </c>
      <c r="V134" s="28" t="n">
        <f aca="false">IF(R134="",MAX(P134,W134),R134)</f>
        <v>0.000110492653414002</v>
      </c>
      <c r="W134" s="28" t="n">
        <f aca="false">IF(S134="",O134,S134)</f>
        <v>1.10492653414002E-005</v>
      </c>
      <c r="X134" s="28" t="n">
        <f aca="false">IF(T134="",Q134,T134)</f>
        <v>8.66609046384327E-007</v>
      </c>
      <c r="Y134" s="20" t="str">
        <f aca="false">IF(S134="","",IF(O134&lt;S134,"Calc STRICTER (lower)","Calc more lenient (higher)"))</f>
        <v/>
      </c>
      <c r="Z134" s="20" t="str">
        <f aca="false">IF(B134="XL","Hemizygous male AF (grpmax)","grpmax FAF95; check SAS, IndiGen, GenomeIndia")</f>
        <v>grpmax FAF95; check SAS, IndiGen, GenomeIndia</v>
      </c>
      <c r="AA134" s="20"/>
      <c r="AB134" s="20"/>
    </row>
    <row r="135" customFormat="false" ht="15" hidden="false" customHeight="false" outlineLevel="0" collapsed="false">
      <c r="A135" s="19" t="s">
        <v>280</v>
      </c>
      <c r="B135" s="20" t="s">
        <v>96</v>
      </c>
      <c r="C135" s="20" t="s">
        <v>105</v>
      </c>
      <c r="D135" s="21" t="n">
        <f aca="false">SUMIF(Indian_Gene_Shares!$B$5:$B$47,A135,Indian_Gene_Shares!$G$5:$G$47)</f>
        <v>0</v>
      </c>
      <c r="E135" s="9" t="n">
        <f aca="false">IFERROR(INDEX(ARIDE_Cohort!$C$6:$C$207,MATCH(A135,ARIDE_Cohort!$A$6:$A$207,0)),0)</f>
        <v>0</v>
      </c>
      <c r="F135" s="22" t="n">
        <f aca="false">MAX(Inputs!$B$24,IF(AND(Inputs!$B$29="ARIDE cohort",ARIDE_Cohort!$B$3&gt;=Inputs!$B$30),E135,D135))</f>
        <v>0.01</v>
      </c>
      <c r="G135" s="20" t="str">
        <f aca="false">IF(AND(Inputs!$B$29="ARIDE cohort",ARIDE_Cohort!$B$3&gt;=Inputs!$B$30),IF(E135&gt;Inputs!$B$24,"ARIDE cohort","Floor (ARIDE share below floor)"),IF(D135&gt;Inputs!$B$24,"Indian literature",IF(D135&gt;0,"Floor (Indian share below floor)","Floor (no Indian data)")))</f>
        <v>Floor (no Indian data)</v>
      </c>
      <c r="H135" s="23" t="n">
        <f aca="false">IF(B135="AR",Inputs!$B$14,IF(B135="AD",Inputs!$B$15,Inputs!$B$16))</f>
        <v>1</v>
      </c>
      <c r="I135" s="12"/>
      <c r="J135" s="24" t="n">
        <f aca="false">IF(I135="",H135,I135)</f>
        <v>1</v>
      </c>
      <c r="K135" s="12"/>
      <c r="L135" s="24" t="n">
        <f aca="false">IF(K135="",Inputs!$B$20,K135)</f>
        <v>0.5</v>
      </c>
      <c r="M135" s="25" t="n">
        <f aca="false">IF(B135="AR",SQRT(Inputs!$B$9*F135/J135),IF(B135="AD",Inputs!$B$9*F135/(2*J135),2*Inputs!$B$9*F135/J135))</f>
        <v>0.00470090743184764</v>
      </c>
      <c r="N135" s="25" t="n">
        <f aca="false">IF(B135="AR",IF(Inputs!$B$25=0,SQRT(Inputs!$B$8*F135/J135),(-Inputs!$B$25+SQRT(Inputs!$B$25^2+4*(1-Inputs!$B$25)*Inputs!$B$8*F135/J135))/(2*(1-Inputs!$B$25))),IF(B135="AD",Inputs!$B$8*F135/(2*J135),2*Inputs!$B$8*F135/J135))</f>
        <v>0.00416319359719033</v>
      </c>
      <c r="O135" s="25" t="n">
        <f aca="false">MIN(Inputs!$B$26,M135*L135)</f>
        <v>0.00235045371592382</v>
      </c>
      <c r="P135" s="25" t="n">
        <f aca="false">MIN(Inputs!$B$26,O135*Inputs!$B$19)</f>
        <v>0.0235045371592382</v>
      </c>
      <c r="Q135" s="25" t="n">
        <f aca="false">MIN(O135,N135*Inputs!$B$21)</f>
        <v>0.000208159679859516</v>
      </c>
      <c r="R135" s="26"/>
      <c r="S135" s="26"/>
      <c r="T135" s="26"/>
      <c r="U135" s="20" t="str">
        <f aca="false">IF(COUNT(R135:T135)&gt;0,"Published spec (+calc where blank)","Calculated (this workbook)")</f>
        <v>Calculated (this workbook)</v>
      </c>
      <c r="V135" s="28" t="n">
        <f aca="false">IF(R135="",MAX(P135,W135),R135)</f>
        <v>0.0235045371592382</v>
      </c>
      <c r="W135" s="28" t="n">
        <f aca="false">IF(S135="",O135,S135)</f>
        <v>0.00235045371592382</v>
      </c>
      <c r="X135" s="28" t="n">
        <f aca="false">IF(T135="",Q135,T135)</f>
        <v>0.000208159679859516</v>
      </c>
      <c r="Y135" s="20" t="str">
        <f aca="false">IF(S135="","",IF(O135&lt;S135,"Calc STRICTER (lower)","Calc more lenient (higher)"))</f>
        <v/>
      </c>
      <c r="Z135" s="20" t="str">
        <f aca="false">IF(B135="XL","Hemizygous male AF (grpmax)","grpmax FAF95; check SAS, IndiGen, GenomeIndia")</f>
        <v>grpmax FAF95; check SAS, IndiGen, GenomeIndia</v>
      </c>
      <c r="AA135" s="20"/>
      <c r="AB135" s="20"/>
    </row>
    <row r="136" customFormat="false" ht="15" hidden="false" customHeight="false" outlineLevel="0" collapsed="false">
      <c r="A136" s="19" t="s">
        <v>281</v>
      </c>
      <c r="B136" s="20" t="s">
        <v>149</v>
      </c>
      <c r="C136" s="20" t="s">
        <v>218</v>
      </c>
      <c r="D136" s="21" t="n">
        <f aca="false">SUMIF(Indian_Gene_Shares!$B$5:$B$47,A136,Indian_Gene_Shares!$G$5:$G$47)</f>
        <v>0</v>
      </c>
      <c r="E136" s="9" t="n">
        <f aca="false">IFERROR(INDEX(ARIDE_Cohort!$C$6:$C$207,MATCH(A136,ARIDE_Cohort!$A$6:$A$207,0)),0)</f>
        <v>0</v>
      </c>
      <c r="F136" s="22" t="n">
        <f aca="false">MAX(Inputs!$B$24,IF(AND(Inputs!$B$29="ARIDE cohort",ARIDE_Cohort!$B$3&gt;=Inputs!$B$30),E136,D136))</f>
        <v>0.01</v>
      </c>
      <c r="G136" s="20" t="str">
        <f aca="false">IF(AND(Inputs!$B$29="ARIDE cohort",ARIDE_Cohort!$B$3&gt;=Inputs!$B$30),IF(E136&gt;Inputs!$B$24,"ARIDE cohort","Floor (ARIDE share below floor)"),IF(D136&gt;Inputs!$B$24,"Indian literature",IF(D136&gt;0,"Floor (Indian share below floor)","Floor (no Indian data)")))</f>
        <v>Floor (no Indian data)</v>
      </c>
      <c r="H136" s="23" t="n">
        <f aca="false">IF(B136="AR",Inputs!$B$14,IF(B136="AD",Inputs!$B$15,Inputs!$B$16))</f>
        <v>1</v>
      </c>
      <c r="I136" s="12"/>
      <c r="J136" s="24" t="n">
        <f aca="false">IF(I136="",H136,I136)</f>
        <v>1</v>
      </c>
      <c r="K136" s="12"/>
      <c r="L136" s="24" t="n">
        <f aca="false">IF(K136="",Inputs!$B$20,K136)</f>
        <v>0.5</v>
      </c>
      <c r="M136" s="25" t="n">
        <f aca="false">IF(B136="AR",SQRT(Inputs!$B$9*F136/J136),IF(B136="AD",Inputs!$B$9*F136/(2*J136),2*Inputs!$B$9*F136/J136))</f>
        <v>4.41970613656007E-005</v>
      </c>
      <c r="N136" s="25" t="n">
        <f aca="false">IF(B136="AR",IF(Inputs!$B$25=0,SQRT(Inputs!$B$8*F136/J136),(-Inputs!$B$25+SQRT(Inputs!$B$25^2+4*(1-Inputs!$B$25)*Inputs!$B$8*F136/J136))/(2*(1-Inputs!$B$25))),IF(B136="AD",Inputs!$B$8*F136/(2*J136),2*Inputs!$B$8*F136/J136))</f>
        <v>3.46643618553731E-005</v>
      </c>
      <c r="O136" s="25" t="n">
        <f aca="false">MIN(Inputs!$B$26,M136*L136)</f>
        <v>2.20985306828003E-005</v>
      </c>
      <c r="P136" s="25" t="n">
        <f aca="false">MIN(Inputs!$B$26,O136*Inputs!$B$19)</f>
        <v>0.000220985306828003</v>
      </c>
      <c r="Q136" s="25" t="n">
        <f aca="false">MIN(O136,N136*Inputs!$B$21)</f>
        <v>1.73321809276865E-006</v>
      </c>
      <c r="R136" s="26"/>
      <c r="S136" s="26"/>
      <c r="T136" s="26"/>
      <c r="U136" s="20" t="str">
        <f aca="false">IF(COUNT(R136:T136)&gt;0,"Published spec (+calc where blank)","Calculated (this workbook)")</f>
        <v>Calculated (this workbook)</v>
      </c>
      <c r="V136" s="28" t="n">
        <f aca="false">IF(R136="",MAX(P136,W136),R136)</f>
        <v>0.000220985306828003</v>
      </c>
      <c r="W136" s="28" t="n">
        <f aca="false">IF(S136="",O136,S136)</f>
        <v>2.20985306828003E-005</v>
      </c>
      <c r="X136" s="28" t="n">
        <f aca="false">IF(T136="",Q136,T136)</f>
        <v>1.73321809276865E-006</v>
      </c>
      <c r="Y136" s="20" t="str">
        <f aca="false">IF(S136="","",IF(O136&lt;S136,"Calc STRICTER (lower)","Calc more lenient (higher)"))</f>
        <v/>
      </c>
      <c r="Z136" s="20" t="str">
        <f aca="false">IF(B136="XL","Hemizygous male AF (grpmax)","grpmax FAF95; check SAS, IndiGen, GenomeIndia")</f>
        <v>Hemizygous male AF (grpmax)</v>
      </c>
      <c r="AA136" s="20"/>
      <c r="AB136" s="20"/>
    </row>
    <row r="137" customFormat="false" ht="15" hidden="false" customHeight="false" outlineLevel="0" collapsed="false">
      <c r="A137" s="19" t="s">
        <v>282</v>
      </c>
      <c r="B137" s="20" t="s">
        <v>96</v>
      </c>
      <c r="C137" s="20" t="s">
        <v>283</v>
      </c>
      <c r="D137" s="21" t="n">
        <f aca="false">SUMIF(Indian_Gene_Shares!$B$5:$B$47,A137,Indian_Gene_Shares!$G$5:$G$47)</f>
        <v>0</v>
      </c>
      <c r="E137" s="9" t="n">
        <f aca="false">IFERROR(INDEX(ARIDE_Cohort!$C$6:$C$207,MATCH(A137,ARIDE_Cohort!$A$6:$A$207,0)),0)</f>
        <v>0</v>
      </c>
      <c r="F137" s="22" t="n">
        <f aca="false">MAX(Inputs!$B$24,IF(AND(Inputs!$B$29="ARIDE cohort",ARIDE_Cohort!$B$3&gt;=Inputs!$B$30),E137,D137))</f>
        <v>0.01</v>
      </c>
      <c r="G137" s="20" t="str">
        <f aca="false">IF(AND(Inputs!$B$29="ARIDE cohort",ARIDE_Cohort!$B$3&gt;=Inputs!$B$30),IF(E137&gt;Inputs!$B$24,"ARIDE cohort","Floor (ARIDE share below floor)"),IF(D137&gt;Inputs!$B$24,"Indian literature",IF(D137&gt;0,"Floor (Indian share below floor)","Floor (no Indian data)")))</f>
        <v>Floor (no Indian data)</v>
      </c>
      <c r="H137" s="23" t="n">
        <f aca="false">IF(B137="AR",Inputs!$B$14,IF(B137="AD",Inputs!$B$15,Inputs!$B$16))</f>
        <v>1</v>
      </c>
      <c r="I137" s="12"/>
      <c r="J137" s="24" t="n">
        <f aca="false">IF(I137="",H137,I137)</f>
        <v>1</v>
      </c>
      <c r="K137" s="12"/>
      <c r="L137" s="24" t="n">
        <f aca="false">IF(K137="",Inputs!$B$20,K137)</f>
        <v>0.5</v>
      </c>
      <c r="M137" s="25" t="n">
        <f aca="false">IF(B137="AR",SQRT(Inputs!$B$9*F137/J137),IF(B137="AD",Inputs!$B$9*F137/(2*J137),2*Inputs!$B$9*F137/J137))</f>
        <v>0.00470090743184764</v>
      </c>
      <c r="N137" s="25" t="n">
        <f aca="false">IF(B137="AR",IF(Inputs!$B$25=0,SQRT(Inputs!$B$8*F137/J137),(-Inputs!$B$25+SQRT(Inputs!$B$25^2+4*(1-Inputs!$B$25)*Inputs!$B$8*F137/J137))/(2*(1-Inputs!$B$25))),IF(B137="AD",Inputs!$B$8*F137/(2*J137),2*Inputs!$B$8*F137/J137))</f>
        <v>0.00416319359719033</v>
      </c>
      <c r="O137" s="25" t="n">
        <f aca="false">MIN(Inputs!$B$26,M137*L137)</f>
        <v>0.00235045371592382</v>
      </c>
      <c r="P137" s="25" t="n">
        <f aca="false">MIN(Inputs!$B$26,O137*Inputs!$B$19)</f>
        <v>0.0235045371592382</v>
      </c>
      <c r="Q137" s="25" t="n">
        <f aca="false">MIN(O137,N137*Inputs!$B$21)</f>
        <v>0.000208159679859516</v>
      </c>
      <c r="R137" s="26"/>
      <c r="S137" s="26"/>
      <c r="T137" s="26"/>
      <c r="U137" s="20" t="str">
        <f aca="false">IF(COUNT(R137:T137)&gt;0,"Published spec (+calc where blank)","Calculated (this workbook)")</f>
        <v>Calculated (this workbook)</v>
      </c>
      <c r="V137" s="28" t="n">
        <f aca="false">IF(R137="",MAX(P137,W137),R137)</f>
        <v>0.0235045371592382</v>
      </c>
      <c r="W137" s="28" t="n">
        <f aca="false">IF(S137="",O137,S137)</f>
        <v>0.00235045371592382</v>
      </c>
      <c r="X137" s="28" t="n">
        <f aca="false">IF(T137="",Q137,T137)</f>
        <v>0.000208159679859516</v>
      </c>
      <c r="Y137" s="20" t="str">
        <f aca="false">IF(S137="","",IF(O137&lt;S137,"Calc STRICTER (lower)","Calc more lenient (higher)"))</f>
        <v/>
      </c>
      <c r="Z137" s="20" t="str">
        <f aca="false">IF(B137="XL","Hemizygous male AF (grpmax)","grpmax FAF95; check SAS, IndiGen, GenomeIndia")</f>
        <v>grpmax FAF95; check SAS, IndiGen, GenomeIndia</v>
      </c>
      <c r="AA137" s="20"/>
      <c r="AB137" s="20"/>
    </row>
    <row r="138" customFormat="false" ht="15" hidden="false" customHeight="false" outlineLevel="0" collapsed="false">
      <c r="A138" s="19" t="s">
        <v>284</v>
      </c>
      <c r="B138" s="20" t="s">
        <v>149</v>
      </c>
      <c r="C138" s="20" t="s">
        <v>285</v>
      </c>
      <c r="D138" s="21" t="n">
        <f aca="false">SUMIF(Indian_Gene_Shares!$B$5:$B$47,A138,Indian_Gene_Shares!$G$5:$G$47)</f>
        <v>0</v>
      </c>
      <c r="E138" s="9" t="n">
        <f aca="false">IFERROR(INDEX(ARIDE_Cohort!$C$6:$C$207,MATCH(A138,ARIDE_Cohort!$A$6:$A$207,0)),0)</f>
        <v>0</v>
      </c>
      <c r="F138" s="22" t="n">
        <f aca="false">MAX(Inputs!$B$24,IF(AND(Inputs!$B$29="ARIDE cohort",ARIDE_Cohort!$B$3&gt;=Inputs!$B$30),E138,D138))</f>
        <v>0.01</v>
      </c>
      <c r="G138" s="20" t="str">
        <f aca="false">IF(AND(Inputs!$B$29="ARIDE cohort",ARIDE_Cohort!$B$3&gt;=Inputs!$B$30),IF(E138&gt;Inputs!$B$24,"ARIDE cohort","Floor (ARIDE share below floor)"),IF(D138&gt;Inputs!$B$24,"Indian literature",IF(D138&gt;0,"Floor (Indian share below floor)","Floor (no Indian data)")))</f>
        <v>Floor (no Indian data)</v>
      </c>
      <c r="H138" s="23" t="n">
        <f aca="false">IF(B138="AR",Inputs!$B$14,IF(B138="AD",Inputs!$B$15,Inputs!$B$16))</f>
        <v>1</v>
      </c>
      <c r="I138" s="12"/>
      <c r="J138" s="24" t="n">
        <f aca="false">IF(I138="",H138,I138)</f>
        <v>1</v>
      </c>
      <c r="K138" s="12"/>
      <c r="L138" s="24" t="n">
        <f aca="false">IF(K138="",Inputs!$B$20,K138)</f>
        <v>0.5</v>
      </c>
      <c r="M138" s="25" t="n">
        <f aca="false">IF(B138="AR",SQRT(Inputs!$B$9*F138/J138),IF(B138="AD",Inputs!$B$9*F138/(2*J138),2*Inputs!$B$9*F138/J138))</f>
        <v>4.41970613656007E-005</v>
      </c>
      <c r="N138" s="25" t="n">
        <f aca="false">IF(B138="AR",IF(Inputs!$B$25=0,SQRT(Inputs!$B$8*F138/J138),(-Inputs!$B$25+SQRT(Inputs!$B$25^2+4*(1-Inputs!$B$25)*Inputs!$B$8*F138/J138))/(2*(1-Inputs!$B$25))),IF(B138="AD",Inputs!$B$8*F138/(2*J138),2*Inputs!$B$8*F138/J138))</f>
        <v>3.46643618553731E-005</v>
      </c>
      <c r="O138" s="25" t="n">
        <f aca="false">MIN(Inputs!$B$26,M138*L138)</f>
        <v>2.20985306828003E-005</v>
      </c>
      <c r="P138" s="25" t="n">
        <f aca="false">MIN(Inputs!$B$26,O138*Inputs!$B$19)</f>
        <v>0.000220985306828003</v>
      </c>
      <c r="Q138" s="25" t="n">
        <f aca="false">MIN(O138,N138*Inputs!$B$21)</f>
        <v>1.73321809276865E-006</v>
      </c>
      <c r="R138" s="26"/>
      <c r="S138" s="26"/>
      <c r="T138" s="26"/>
      <c r="U138" s="20" t="str">
        <f aca="false">IF(COUNT(R138:T138)&gt;0,"Published spec (+calc where blank)","Calculated (this workbook)")</f>
        <v>Calculated (this workbook)</v>
      </c>
      <c r="V138" s="28" t="n">
        <f aca="false">IF(R138="",MAX(P138,W138),R138)</f>
        <v>0.000220985306828003</v>
      </c>
      <c r="W138" s="28" t="n">
        <f aca="false">IF(S138="",O138,S138)</f>
        <v>2.20985306828003E-005</v>
      </c>
      <c r="X138" s="28" t="n">
        <f aca="false">IF(T138="",Q138,T138)</f>
        <v>1.73321809276865E-006</v>
      </c>
      <c r="Y138" s="20" t="str">
        <f aca="false">IF(S138="","",IF(O138&lt;S138,"Calc STRICTER (lower)","Calc more lenient (higher)"))</f>
        <v/>
      </c>
      <c r="Z138" s="20" t="str">
        <f aca="false">IF(B138="XL","Hemizygous male AF (grpmax)","grpmax FAF95; check SAS, IndiGen, GenomeIndia")</f>
        <v>Hemizygous male AF (grpmax)</v>
      </c>
      <c r="AA138" s="20"/>
      <c r="AB138" s="20"/>
    </row>
    <row r="139" customFormat="false" ht="15" hidden="false" customHeight="false" outlineLevel="0" collapsed="false">
      <c r="A139" s="19" t="s">
        <v>286</v>
      </c>
      <c r="B139" s="20" t="s">
        <v>149</v>
      </c>
      <c r="C139" s="20" t="s">
        <v>287</v>
      </c>
      <c r="D139" s="21" t="n">
        <f aca="false">SUMIF(Indian_Gene_Shares!$B$5:$B$47,A139,Indian_Gene_Shares!$G$5:$G$47)</f>
        <v>0</v>
      </c>
      <c r="E139" s="9" t="n">
        <f aca="false">IFERROR(INDEX(ARIDE_Cohort!$C$6:$C$207,MATCH(A139,ARIDE_Cohort!$A$6:$A$207,0)),0)</f>
        <v>0</v>
      </c>
      <c r="F139" s="22" t="n">
        <f aca="false">MAX(Inputs!$B$24,IF(AND(Inputs!$B$29="ARIDE cohort",ARIDE_Cohort!$B$3&gt;=Inputs!$B$30),E139,D139))</f>
        <v>0.01</v>
      </c>
      <c r="G139" s="20" t="str">
        <f aca="false">IF(AND(Inputs!$B$29="ARIDE cohort",ARIDE_Cohort!$B$3&gt;=Inputs!$B$30),IF(E139&gt;Inputs!$B$24,"ARIDE cohort","Floor (ARIDE share below floor)"),IF(D139&gt;Inputs!$B$24,"Indian literature",IF(D139&gt;0,"Floor (Indian share below floor)","Floor (no Indian data)")))</f>
        <v>Floor (no Indian data)</v>
      </c>
      <c r="H139" s="23" t="n">
        <f aca="false">IF(B139="AR",Inputs!$B$14,IF(B139="AD",Inputs!$B$15,Inputs!$B$16))</f>
        <v>1</v>
      </c>
      <c r="I139" s="12"/>
      <c r="J139" s="24" t="n">
        <f aca="false">IF(I139="",H139,I139)</f>
        <v>1</v>
      </c>
      <c r="K139" s="12"/>
      <c r="L139" s="24" t="n">
        <f aca="false">IF(K139="",Inputs!$B$20,K139)</f>
        <v>0.5</v>
      </c>
      <c r="M139" s="25" t="n">
        <f aca="false">IF(B139="AR",SQRT(Inputs!$B$9*F139/J139),IF(B139="AD",Inputs!$B$9*F139/(2*J139),2*Inputs!$B$9*F139/J139))</f>
        <v>4.41970613656007E-005</v>
      </c>
      <c r="N139" s="25" t="n">
        <f aca="false">IF(B139="AR",IF(Inputs!$B$25=0,SQRT(Inputs!$B$8*F139/J139),(-Inputs!$B$25+SQRT(Inputs!$B$25^2+4*(1-Inputs!$B$25)*Inputs!$B$8*F139/J139))/(2*(1-Inputs!$B$25))),IF(B139="AD",Inputs!$B$8*F139/(2*J139),2*Inputs!$B$8*F139/J139))</f>
        <v>3.46643618553731E-005</v>
      </c>
      <c r="O139" s="25" t="n">
        <f aca="false">MIN(Inputs!$B$26,M139*L139)</f>
        <v>2.20985306828003E-005</v>
      </c>
      <c r="P139" s="25" t="n">
        <f aca="false">MIN(Inputs!$B$26,O139*Inputs!$B$19)</f>
        <v>0.000220985306828003</v>
      </c>
      <c r="Q139" s="25" t="n">
        <f aca="false">MIN(O139,N139*Inputs!$B$21)</f>
        <v>1.73321809276865E-006</v>
      </c>
      <c r="R139" s="26"/>
      <c r="S139" s="26"/>
      <c r="T139" s="26"/>
      <c r="U139" s="20" t="str">
        <f aca="false">IF(COUNT(R139:T139)&gt;0,"Published spec (+calc where blank)","Calculated (this workbook)")</f>
        <v>Calculated (this workbook)</v>
      </c>
      <c r="V139" s="28" t="n">
        <f aca="false">IF(R139="",MAX(P139,W139),R139)</f>
        <v>0.000220985306828003</v>
      </c>
      <c r="W139" s="28" t="n">
        <f aca="false">IF(S139="",O139,S139)</f>
        <v>2.20985306828003E-005</v>
      </c>
      <c r="X139" s="28" t="n">
        <f aca="false">IF(T139="",Q139,T139)</f>
        <v>1.73321809276865E-006</v>
      </c>
      <c r="Y139" s="20" t="str">
        <f aca="false">IF(S139="","",IF(O139&lt;S139,"Calc STRICTER (lower)","Calc more lenient (higher)"))</f>
        <v/>
      </c>
      <c r="Z139" s="20" t="str">
        <f aca="false">IF(B139="XL","Hemizygous male AF (grpmax)","grpmax FAF95; check SAS, IndiGen, GenomeIndia")</f>
        <v>Hemizygous male AF (grpmax)</v>
      </c>
      <c r="AA139" s="20"/>
      <c r="AB139" s="20"/>
    </row>
    <row r="140" customFormat="false" ht="15" hidden="false" customHeight="false" outlineLevel="0" collapsed="false">
      <c r="A140" s="19" t="s">
        <v>288</v>
      </c>
      <c r="B140" s="20" t="s">
        <v>149</v>
      </c>
      <c r="C140" s="20" t="s">
        <v>287</v>
      </c>
      <c r="D140" s="21" t="n">
        <f aca="false">SUMIF(Indian_Gene_Shares!$B$5:$B$47,A140,Indian_Gene_Shares!$G$5:$G$47)</f>
        <v>0</v>
      </c>
      <c r="E140" s="9" t="n">
        <f aca="false">IFERROR(INDEX(ARIDE_Cohort!$C$6:$C$207,MATCH(A140,ARIDE_Cohort!$A$6:$A$207,0)),0)</f>
        <v>0</v>
      </c>
      <c r="F140" s="22" t="n">
        <f aca="false">MAX(Inputs!$B$24,IF(AND(Inputs!$B$29="ARIDE cohort",ARIDE_Cohort!$B$3&gt;=Inputs!$B$30),E140,D140))</f>
        <v>0.01</v>
      </c>
      <c r="G140" s="20" t="str">
        <f aca="false">IF(AND(Inputs!$B$29="ARIDE cohort",ARIDE_Cohort!$B$3&gt;=Inputs!$B$30),IF(E140&gt;Inputs!$B$24,"ARIDE cohort","Floor (ARIDE share below floor)"),IF(D140&gt;Inputs!$B$24,"Indian literature",IF(D140&gt;0,"Floor (Indian share below floor)","Floor (no Indian data)")))</f>
        <v>Floor (no Indian data)</v>
      </c>
      <c r="H140" s="23" t="n">
        <f aca="false">IF(B140="AR",Inputs!$B$14,IF(B140="AD",Inputs!$B$15,Inputs!$B$16))</f>
        <v>1</v>
      </c>
      <c r="I140" s="12"/>
      <c r="J140" s="24" t="n">
        <f aca="false">IF(I140="",H140,I140)</f>
        <v>1</v>
      </c>
      <c r="K140" s="12"/>
      <c r="L140" s="24" t="n">
        <f aca="false">IF(K140="",Inputs!$B$20,K140)</f>
        <v>0.5</v>
      </c>
      <c r="M140" s="25" t="n">
        <f aca="false">IF(B140="AR",SQRT(Inputs!$B$9*F140/J140),IF(B140="AD",Inputs!$B$9*F140/(2*J140),2*Inputs!$B$9*F140/J140))</f>
        <v>4.41970613656007E-005</v>
      </c>
      <c r="N140" s="25" t="n">
        <f aca="false">IF(B140="AR",IF(Inputs!$B$25=0,SQRT(Inputs!$B$8*F140/J140),(-Inputs!$B$25+SQRT(Inputs!$B$25^2+4*(1-Inputs!$B$25)*Inputs!$B$8*F140/J140))/(2*(1-Inputs!$B$25))),IF(B140="AD",Inputs!$B$8*F140/(2*J140),2*Inputs!$B$8*F140/J140))</f>
        <v>3.46643618553731E-005</v>
      </c>
      <c r="O140" s="25" t="n">
        <f aca="false">MIN(Inputs!$B$26,M140*L140)</f>
        <v>2.20985306828003E-005</v>
      </c>
      <c r="P140" s="25" t="n">
        <f aca="false">MIN(Inputs!$B$26,O140*Inputs!$B$19)</f>
        <v>0.000220985306828003</v>
      </c>
      <c r="Q140" s="25" t="n">
        <f aca="false">MIN(O140,N140*Inputs!$B$21)</f>
        <v>1.73321809276865E-006</v>
      </c>
      <c r="R140" s="26"/>
      <c r="S140" s="26"/>
      <c r="T140" s="26"/>
      <c r="U140" s="20" t="str">
        <f aca="false">IF(COUNT(R140:T140)&gt;0,"Published spec (+calc where blank)","Calculated (this workbook)")</f>
        <v>Calculated (this workbook)</v>
      </c>
      <c r="V140" s="28" t="n">
        <f aca="false">IF(R140="",MAX(P140,W140),R140)</f>
        <v>0.000220985306828003</v>
      </c>
      <c r="W140" s="28" t="n">
        <f aca="false">IF(S140="",O140,S140)</f>
        <v>2.20985306828003E-005</v>
      </c>
      <c r="X140" s="28" t="n">
        <f aca="false">IF(T140="",Q140,T140)</f>
        <v>1.73321809276865E-006</v>
      </c>
      <c r="Y140" s="20" t="str">
        <f aca="false">IF(S140="","",IF(O140&lt;S140,"Calc STRICTER (lower)","Calc more lenient (higher)"))</f>
        <v/>
      </c>
      <c r="Z140" s="20" t="str">
        <f aca="false">IF(B140="XL","Hemizygous male AF (grpmax)","grpmax FAF95; check SAS, IndiGen, GenomeIndia")</f>
        <v>Hemizygous male AF (grpmax)</v>
      </c>
      <c r="AA140" s="20"/>
      <c r="AB140" s="20"/>
    </row>
    <row r="141" customFormat="false" ht="15" hidden="false" customHeight="false" outlineLevel="0" collapsed="false">
      <c r="A141" s="19" t="s">
        <v>289</v>
      </c>
      <c r="B141" s="20" t="s">
        <v>109</v>
      </c>
      <c r="C141" s="20" t="s">
        <v>290</v>
      </c>
      <c r="D141" s="21" t="n">
        <f aca="false">SUMIF(Indian_Gene_Shares!$B$5:$B$47,A141,Indian_Gene_Shares!$G$5:$G$47)</f>
        <v>0</v>
      </c>
      <c r="E141" s="9" t="n">
        <f aca="false">IFERROR(INDEX(ARIDE_Cohort!$C$6:$C$207,MATCH(A141,ARIDE_Cohort!$A$6:$A$207,0)),0)</f>
        <v>0</v>
      </c>
      <c r="F141" s="22" t="n">
        <f aca="false">MAX(Inputs!$B$24,IF(AND(Inputs!$B$29="ARIDE cohort",ARIDE_Cohort!$B$3&gt;=Inputs!$B$30),E141,D141))</f>
        <v>0.01</v>
      </c>
      <c r="G141" s="20" t="str">
        <f aca="false">IF(AND(Inputs!$B$29="ARIDE cohort",ARIDE_Cohort!$B$3&gt;=Inputs!$B$30),IF(E141&gt;Inputs!$B$24,"ARIDE cohort","Floor (ARIDE share below floor)"),IF(D141&gt;Inputs!$B$24,"Indian literature",IF(D141&gt;0,"Floor (Indian share below floor)","Floor (no Indian data)")))</f>
        <v>Floor (no Indian data)</v>
      </c>
      <c r="H141" s="23" t="n">
        <f aca="false">IF(B141="AR",Inputs!$B$14,IF(B141="AD",Inputs!$B$15,Inputs!$B$16))</f>
        <v>0.5</v>
      </c>
      <c r="I141" s="12"/>
      <c r="J141" s="24" t="n">
        <f aca="false">IF(I141="",H141,I141)</f>
        <v>0.5</v>
      </c>
      <c r="K141" s="12"/>
      <c r="L141" s="24" t="n">
        <f aca="false">IF(K141="",Inputs!$B$20,K141)</f>
        <v>0.5</v>
      </c>
      <c r="M141" s="25" t="n">
        <f aca="false">IF(B141="AR",SQRT(Inputs!$B$9*F141/J141),IF(B141="AD",Inputs!$B$9*F141/(2*J141),2*Inputs!$B$9*F141/J141))</f>
        <v>2.20985306828003E-005</v>
      </c>
      <c r="N141" s="25" t="n">
        <f aca="false">IF(B141="AR",IF(Inputs!$B$25=0,SQRT(Inputs!$B$8*F141/J141),(-Inputs!$B$25+SQRT(Inputs!$B$25^2+4*(1-Inputs!$B$25)*Inputs!$B$8*F141/J141))/(2*(1-Inputs!$B$25))),IF(B141="AD",Inputs!$B$8*F141/(2*J141),2*Inputs!$B$8*F141/J141))</f>
        <v>1.73321809276865E-005</v>
      </c>
      <c r="O141" s="25" t="n">
        <f aca="false">MIN(Inputs!$B$26,M141*L141)</f>
        <v>1.10492653414002E-005</v>
      </c>
      <c r="P141" s="25" t="n">
        <f aca="false">MIN(Inputs!$B$26,O141*Inputs!$B$19)</f>
        <v>0.000110492653414002</v>
      </c>
      <c r="Q141" s="25" t="n">
        <f aca="false">MIN(O141,N141*Inputs!$B$21)</f>
        <v>8.66609046384327E-007</v>
      </c>
      <c r="R141" s="26"/>
      <c r="S141" s="26"/>
      <c r="T141" s="26"/>
      <c r="U141" s="20" t="str">
        <f aca="false">IF(COUNT(R141:T141)&gt;0,"Published spec (+calc where blank)","Calculated (this workbook)")</f>
        <v>Calculated (this workbook)</v>
      </c>
      <c r="V141" s="28" t="n">
        <f aca="false">IF(R141="",MAX(P141,W141),R141)</f>
        <v>0.000110492653414002</v>
      </c>
      <c r="W141" s="28" t="n">
        <f aca="false">IF(S141="",O141,S141)</f>
        <v>1.10492653414002E-005</v>
      </c>
      <c r="X141" s="28" t="n">
        <f aca="false">IF(T141="",Q141,T141)</f>
        <v>8.66609046384327E-007</v>
      </c>
      <c r="Y141" s="20" t="str">
        <f aca="false">IF(S141="","",IF(O141&lt;S141,"Calc STRICTER (lower)","Calc more lenient (higher)"))</f>
        <v/>
      </c>
      <c r="Z141" s="20" t="str">
        <f aca="false">IF(B141="XL","Hemizygous male AF (grpmax)","grpmax FAF95; check SAS, IndiGen, GenomeIndia")</f>
        <v>grpmax FAF95; check SAS, IndiGen, GenomeIndia</v>
      </c>
      <c r="AA141" s="20"/>
      <c r="AB141" s="20"/>
    </row>
    <row r="142" customFormat="false" ht="15" hidden="false" customHeight="false" outlineLevel="0" collapsed="false">
      <c r="A142" s="19" t="s">
        <v>291</v>
      </c>
      <c r="B142" s="20" t="s">
        <v>96</v>
      </c>
      <c r="C142" s="20" t="s">
        <v>170</v>
      </c>
      <c r="D142" s="21" t="n">
        <f aca="false">SUMIF(Indian_Gene_Shares!$B$5:$B$47,A142,Indian_Gene_Shares!$G$5:$G$47)</f>
        <v>0.00543336816109423</v>
      </c>
      <c r="E142" s="9" t="n">
        <f aca="false">IFERROR(INDEX(ARIDE_Cohort!$C$6:$C$207,MATCH(A142,ARIDE_Cohort!$A$6:$A$207,0)),0)</f>
        <v>0</v>
      </c>
      <c r="F142" s="22" t="n">
        <f aca="false">MAX(Inputs!$B$24,IF(AND(Inputs!$B$29="ARIDE cohort",ARIDE_Cohort!$B$3&gt;=Inputs!$B$30),E142,D142))</f>
        <v>0.01</v>
      </c>
      <c r="G142" s="20" t="str">
        <f aca="false">IF(AND(Inputs!$B$29="ARIDE cohort",ARIDE_Cohort!$B$3&gt;=Inputs!$B$30),IF(E142&gt;Inputs!$B$24,"ARIDE cohort","Floor (ARIDE share below floor)"),IF(D142&gt;Inputs!$B$24,"Indian literature",IF(D142&gt;0,"Floor (Indian share below floor)","Floor (no Indian data)")))</f>
        <v>Floor (Indian share below floor)</v>
      </c>
      <c r="H142" s="23" t="n">
        <f aca="false">IF(B142="AR",Inputs!$B$14,IF(B142="AD",Inputs!$B$15,Inputs!$B$16))</f>
        <v>1</v>
      </c>
      <c r="I142" s="12"/>
      <c r="J142" s="24" t="n">
        <f aca="false">IF(I142="",H142,I142)</f>
        <v>1</v>
      </c>
      <c r="K142" s="12"/>
      <c r="L142" s="24" t="n">
        <f aca="false">IF(K142="",Inputs!$B$20,K142)</f>
        <v>0.5</v>
      </c>
      <c r="M142" s="25" t="n">
        <f aca="false">IF(B142="AR",SQRT(Inputs!$B$9*F142/J142),IF(B142="AD",Inputs!$B$9*F142/(2*J142),2*Inputs!$B$9*F142/J142))</f>
        <v>0.00470090743184764</v>
      </c>
      <c r="N142" s="25" t="n">
        <f aca="false">IF(B142="AR",IF(Inputs!$B$25=0,SQRT(Inputs!$B$8*F142/J142),(-Inputs!$B$25+SQRT(Inputs!$B$25^2+4*(1-Inputs!$B$25)*Inputs!$B$8*F142/J142))/(2*(1-Inputs!$B$25))),IF(B142="AD",Inputs!$B$8*F142/(2*J142),2*Inputs!$B$8*F142/J142))</f>
        <v>0.00416319359719033</v>
      </c>
      <c r="O142" s="25" t="n">
        <f aca="false">MIN(Inputs!$B$26,M142*L142)</f>
        <v>0.00235045371592382</v>
      </c>
      <c r="P142" s="25" t="n">
        <f aca="false">MIN(Inputs!$B$26,O142*Inputs!$B$19)</f>
        <v>0.0235045371592382</v>
      </c>
      <c r="Q142" s="25" t="n">
        <f aca="false">MIN(O142,N142*Inputs!$B$21)</f>
        <v>0.000208159679859516</v>
      </c>
      <c r="R142" s="26"/>
      <c r="S142" s="26"/>
      <c r="T142" s="26"/>
      <c r="U142" s="20" t="str">
        <f aca="false">IF(COUNT(R142:T142)&gt;0,"Published spec (+calc where blank)","Calculated (this workbook)")</f>
        <v>Calculated (this workbook)</v>
      </c>
      <c r="V142" s="28" t="n">
        <f aca="false">IF(R142="",MAX(P142,W142),R142)</f>
        <v>0.0235045371592382</v>
      </c>
      <c r="W142" s="28" t="n">
        <f aca="false">IF(S142="",O142,S142)</f>
        <v>0.00235045371592382</v>
      </c>
      <c r="X142" s="28" t="n">
        <f aca="false">IF(T142="",Q142,T142)</f>
        <v>0.000208159679859516</v>
      </c>
      <c r="Y142" s="20" t="str">
        <f aca="false">IF(S142="","",IF(O142&lt;S142,"Calc STRICTER (lower)","Calc more lenient (higher)"))</f>
        <v/>
      </c>
      <c r="Z142" s="20" t="str">
        <f aca="false">IF(B142="XL","Hemizygous male AF (grpmax)","grpmax FAF95; check SAS, IndiGen, GenomeIndia")</f>
        <v>grpmax FAF95; check SAS, IndiGen, GenomeIndia</v>
      </c>
      <c r="AA142" s="20"/>
      <c r="AB142" s="20"/>
    </row>
    <row r="143" customFormat="false" ht="15" hidden="false" customHeight="false" outlineLevel="0" collapsed="false">
      <c r="A143" s="19" t="s">
        <v>292</v>
      </c>
      <c r="B143" s="20" t="s">
        <v>96</v>
      </c>
      <c r="C143" s="20" t="s">
        <v>156</v>
      </c>
      <c r="D143" s="21" t="n">
        <f aca="false">SUMIF(Indian_Gene_Shares!$B$5:$B$47,A143,Indian_Gene_Shares!$G$5:$G$47)</f>
        <v>0</v>
      </c>
      <c r="E143" s="9" t="n">
        <f aca="false">IFERROR(INDEX(ARIDE_Cohort!$C$6:$C$207,MATCH(A143,ARIDE_Cohort!$A$6:$A$207,0)),0)</f>
        <v>0</v>
      </c>
      <c r="F143" s="22" t="n">
        <f aca="false">MAX(Inputs!$B$24,IF(AND(Inputs!$B$29="ARIDE cohort",ARIDE_Cohort!$B$3&gt;=Inputs!$B$30),E143,D143))</f>
        <v>0.01</v>
      </c>
      <c r="G143" s="20" t="str">
        <f aca="false">IF(AND(Inputs!$B$29="ARIDE cohort",ARIDE_Cohort!$B$3&gt;=Inputs!$B$30),IF(E143&gt;Inputs!$B$24,"ARIDE cohort","Floor (ARIDE share below floor)"),IF(D143&gt;Inputs!$B$24,"Indian literature",IF(D143&gt;0,"Floor (Indian share below floor)","Floor (no Indian data)")))</f>
        <v>Floor (no Indian data)</v>
      </c>
      <c r="H143" s="23" t="n">
        <f aca="false">IF(B143="AR",Inputs!$B$14,IF(B143="AD",Inputs!$B$15,Inputs!$B$16))</f>
        <v>1</v>
      </c>
      <c r="I143" s="12"/>
      <c r="J143" s="24" t="n">
        <f aca="false">IF(I143="",H143,I143)</f>
        <v>1</v>
      </c>
      <c r="K143" s="12"/>
      <c r="L143" s="24" t="n">
        <f aca="false">IF(K143="",Inputs!$B$20,K143)</f>
        <v>0.5</v>
      </c>
      <c r="M143" s="25" t="n">
        <f aca="false">IF(B143="AR",SQRT(Inputs!$B$9*F143/J143),IF(B143="AD",Inputs!$B$9*F143/(2*J143),2*Inputs!$B$9*F143/J143))</f>
        <v>0.00470090743184764</v>
      </c>
      <c r="N143" s="25" t="n">
        <f aca="false">IF(B143="AR",IF(Inputs!$B$25=0,SQRT(Inputs!$B$8*F143/J143),(-Inputs!$B$25+SQRT(Inputs!$B$25^2+4*(1-Inputs!$B$25)*Inputs!$B$8*F143/J143))/(2*(1-Inputs!$B$25))),IF(B143="AD",Inputs!$B$8*F143/(2*J143),2*Inputs!$B$8*F143/J143))</f>
        <v>0.00416319359719033</v>
      </c>
      <c r="O143" s="25" t="n">
        <f aca="false">MIN(Inputs!$B$26,M143*L143)</f>
        <v>0.00235045371592382</v>
      </c>
      <c r="P143" s="25" t="n">
        <f aca="false">MIN(Inputs!$B$26,O143*Inputs!$B$19)</f>
        <v>0.0235045371592382</v>
      </c>
      <c r="Q143" s="25" t="n">
        <f aca="false">MIN(O143,N143*Inputs!$B$21)</f>
        <v>0.000208159679859516</v>
      </c>
      <c r="R143" s="26"/>
      <c r="S143" s="26"/>
      <c r="T143" s="26"/>
      <c r="U143" s="20" t="str">
        <f aca="false">IF(COUNT(R143:T143)&gt;0,"Published spec (+calc where blank)","Calculated (this workbook)")</f>
        <v>Calculated (this workbook)</v>
      </c>
      <c r="V143" s="28" t="n">
        <f aca="false">IF(R143="",MAX(P143,W143),R143)</f>
        <v>0.0235045371592382</v>
      </c>
      <c r="W143" s="28" t="n">
        <f aca="false">IF(S143="",O143,S143)</f>
        <v>0.00235045371592382</v>
      </c>
      <c r="X143" s="28" t="n">
        <f aca="false">IF(T143="",Q143,T143)</f>
        <v>0.000208159679859516</v>
      </c>
      <c r="Y143" s="20" t="str">
        <f aca="false">IF(S143="","",IF(O143&lt;S143,"Calc STRICTER (lower)","Calc more lenient (higher)"))</f>
        <v/>
      </c>
      <c r="Z143" s="20" t="str">
        <f aca="false">IF(B143="XL","Hemizygous male AF (grpmax)","grpmax FAF95; check SAS, IndiGen, GenomeIndia")</f>
        <v>grpmax FAF95; check SAS, IndiGen, GenomeIndia</v>
      </c>
      <c r="AA143" s="20"/>
      <c r="AB143" s="20"/>
    </row>
    <row r="144" customFormat="false" ht="15" hidden="false" customHeight="false" outlineLevel="0" collapsed="false">
      <c r="A144" s="19" t="s">
        <v>293</v>
      </c>
      <c r="B144" s="20" t="s">
        <v>96</v>
      </c>
      <c r="C144" s="20" t="s">
        <v>105</v>
      </c>
      <c r="D144" s="21" t="n">
        <f aca="false">SUMIF(Indian_Gene_Shares!$B$5:$B$47,A144,Indian_Gene_Shares!$G$5:$G$47)</f>
        <v>0</v>
      </c>
      <c r="E144" s="9" t="n">
        <f aca="false">IFERROR(INDEX(ARIDE_Cohort!$C$6:$C$207,MATCH(A144,ARIDE_Cohort!$A$6:$A$207,0)),0)</f>
        <v>0</v>
      </c>
      <c r="F144" s="22" t="n">
        <f aca="false">MAX(Inputs!$B$24,IF(AND(Inputs!$B$29="ARIDE cohort",ARIDE_Cohort!$B$3&gt;=Inputs!$B$30),E144,D144))</f>
        <v>0.01</v>
      </c>
      <c r="G144" s="20" t="str">
        <f aca="false">IF(AND(Inputs!$B$29="ARIDE cohort",ARIDE_Cohort!$B$3&gt;=Inputs!$B$30),IF(E144&gt;Inputs!$B$24,"ARIDE cohort","Floor (ARIDE share below floor)"),IF(D144&gt;Inputs!$B$24,"Indian literature",IF(D144&gt;0,"Floor (Indian share below floor)","Floor (no Indian data)")))</f>
        <v>Floor (no Indian data)</v>
      </c>
      <c r="H144" s="23" t="n">
        <f aca="false">IF(B144="AR",Inputs!$B$14,IF(B144="AD",Inputs!$B$15,Inputs!$B$16))</f>
        <v>1</v>
      </c>
      <c r="I144" s="12"/>
      <c r="J144" s="24" t="n">
        <f aca="false">IF(I144="",H144,I144)</f>
        <v>1</v>
      </c>
      <c r="K144" s="12"/>
      <c r="L144" s="24" t="n">
        <f aca="false">IF(K144="",Inputs!$B$20,K144)</f>
        <v>0.5</v>
      </c>
      <c r="M144" s="25" t="n">
        <f aca="false">IF(B144="AR",SQRT(Inputs!$B$9*F144/J144),IF(B144="AD",Inputs!$B$9*F144/(2*J144),2*Inputs!$B$9*F144/J144))</f>
        <v>0.00470090743184764</v>
      </c>
      <c r="N144" s="25" t="n">
        <f aca="false">IF(B144="AR",IF(Inputs!$B$25=0,SQRT(Inputs!$B$8*F144/J144),(-Inputs!$B$25+SQRT(Inputs!$B$25^2+4*(1-Inputs!$B$25)*Inputs!$B$8*F144/J144))/(2*(1-Inputs!$B$25))),IF(B144="AD",Inputs!$B$8*F144/(2*J144),2*Inputs!$B$8*F144/J144))</f>
        <v>0.00416319359719033</v>
      </c>
      <c r="O144" s="25" t="n">
        <f aca="false">MIN(Inputs!$B$26,M144*L144)</f>
        <v>0.00235045371592382</v>
      </c>
      <c r="P144" s="25" t="n">
        <f aca="false">MIN(Inputs!$B$26,O144*Inputs!$B$19)</f>
        <v>0.0235045371592382</v>
      </c>
      <c r="Q144" s="25" t="n">
        <f aca="false">MIN(O144,N144*Inputs!$B$21)</f>
        <v>0.000208159679859516</v>
      </c>
      <c r="R144" s="26"/>
      <c r="S144" s="26"/>
      <c r="T144" s="26"/>
      <c r="U144" s="20" t="str">
        <f aca="false">IF(COUNT(R144:T144)&gt;0,"Published spec (+calc where blank)","Calculated (this workbook)")</f>
        <v>Calculated (this workbook)</v>
      </c>
      <c r="V144" s="28" t="n">
        <f aca="false">IF(R144="",MAX(P144,W144),R144)</f>
        <v>0.0235045371592382</v>
      </c>
      <c r="W144" s="28" t="n">
        <f aca="false">IF(S144="",O144,S144)</f>
        <v>0.00235045371592382</v>
      </c>
      <c r="X144" s="28" t="n">
        <f aca="false">IF(T144="",Q144,T144)</f>
        <v>0.000208159679859516</v>
      </c>
      <c r="Y144" s="20" t="str">
        <f aca="false">IF(S144="","",IF(O144&lt;S144,"Calc STRICTER (lower)","Calc more lenient (higher)"))</f>
        <v/>
      </c>
      <c r="Z144" s="20" t="str">
        <f aca="false">IF(B144="XL","Hemizygous male AF (grpmax)","grpmax FAF95; check SAS, IndiGen, GenomeIndia")</f>
        <v>grpmax FAF95; check SAS, IndiGen, GenomeIndia</v>
      </c>
      <c r="AA144" s="20"/>
      <c r="AB144" s="20"/>
    </row>
    <row r="145" customFormat="false" ht="15" hidden="false" customHeight="false" outlineLevel="0" collapsed="false">
      <c r="A145" s="19" t="s">
        <v>294</v>
      </c>
      <c r="B145" s="20" t="s">
        <v>96</v>
      </c>
      <c r="C145" s="20" t="s">
        <v>105</v>
      </c>
      <c r="D145" s="21" t="n">
        <f aca="false">SUMIF(Indian_Gene_Shares!$B$5:$B$47,A145,Indian_Gene_Shares!$G$5:$G$47)</f>
        <v>0</v>
      </c>
      <c r="E145" s="9" t="n">
        <f aca="false">IFERROR(INDEX(ARIDE_Cohort!$C$6:$C$207,MATCH(A145,ARIDE_Cohort!$A$6:$A$207,0)),0)</f>
        <v>0</v>
      </c>
      <c r="F145" s="22" t="n">
        <f aca="false">MAX(Inputs!$B$24,IF(AND(Inputs!$B$29="ARIDE cohort",ARIDE_Cohort!$B$3&gt;=Inputs!$B$30),E145,D145))</f>
        <v>0.01</v>
      </c>
      <c r="G145" s="20" t="str">
        <f aca="false">IF(AND(Inputs!$B$29="ARIDE cohort",ARIDE_Cohort!$B$3&gt;=Inputs!$B$30),IF(E145&gt;Inputs!$B$24,"ARIDE cohort","Floor (ARIDE share below floor)"),IF(D145&gt;Inputs!$B$24,"Indian literature",IF(D145&gt;0,"Floor (Indian share below floor)","Floor (no Indian data)")))</f>
        <v>Floor (no Indian data)</v>
      </c>
      <c r="H145" s="23" t="n">
        <f aca="false">IF(B145="AR",Inputs!$B$14,IF(B145="AD",Inputs!$B$15,Inputs!$B$16))</f>
        <v>1</v>
      </c>
      <c r="I145" s="12"/>
      <c r="J145" s="24" t="n">
        <f aca="false">IF(I145="",H145,I145)</f>
        <v>1</v>
      </c>
      <c r="K145" s="12"/>
      <c r="L145" s="24" t="n">
        <f aca="false">IF(K145="",Inputs!$B$20,K145)</f>
        <v>0.5</v>
      </c>
      <c r="M145" s="25" t="n">
        <f aca="false">IF(B145="AR",SQRT(Inputs!$B$9*F145/J145),IF(B145="AD",Inputs!$B$9*F145/(2*J145),2*Inputs!$B$9*F145/J145))</f>
        <v>0.00470090743184764</v>
      </c>
      <c r="N145" s="25" t="n">
        <f aca="false">IF(B145="AR",IF(Inputs!$B$25=0,SQRT(Inputs!$B$8*F145/J145),(-Inputs!$B$25+SQRT(Inputs!$B$25^2+4*(1-Inputs!$B$25)*Inputs!$B$8*F145/J145))/(2*(1-Inputs!$B$25))),IF(B145="AD",Inputs!$B$8*F145/(2*J145),2*Inputs!$B$8*F145/J145))</f>
        <v>0.00416319359719033</v>
      </c>
      <c r="O145" s="25" t="n">
        <f aca="false">MIN(Inputs!$B$26,M145*L145)</f>
        <v>0.00235045371592382</v>
      </c>
      <c r="P145" s="25" t="n">
        <f aca="false">MIN(Inputs!$B$26,O145*Inputs!$B$19)</f>
        <v>0.0235045371592382</v>
      </c>
      <c r="Q145" s="25" t="n">
        <f aca="false">MIN(O145,N145*Inputs!$B$21)</f>
        <v>0.000208159679859516</v>
      </c>
      <c r="R145" s="26"/>
      <c r="S145" s="26"/>
      <c r="T145" s="26"/>
      <c r="U145" s="20" t="str">
        <f aca="false">IF(COUNT(R145:T145)&gt;0,"Published spec (+calc where blank)","Calculated (this workbook)")</f>
        <v>Calculated (this workbook)</v>
      </c>
      <c r="V145" s="28" t="n">
        <f aca="false">IF(R145="",MAX(P145,W145),R145)</f>
        <v>0.0235045371592382</v>
      </c>
      <c r="W145" s="28" t="n">
        <f aca="false">IF(S145="",O145,S145)</f>
        <v>0.00235045371592382</v>
      </c>
      <c r="X145" s="28" t="n">
        <f aca="false">IF(T145="",Q145,T145)</f>
        <v>0.000208159679859516</v>
      </c>
      <c r="Y145" s="20" t="str">
        <f aca="false">IF(S145="","",IF(O145&lt;S145,"Calc STRICTER (lower)","Calc more lenient (higher)"))</f>
        <v/>
      </c>
      <c r="Z145" s="20" t="str">
        <f aca="false">IF(B145="XL","Hemizygous male AF (grpmax)","grpmax FAF95; check SAS, IndiGen, GenomeIndia")</f>
        <v>grpmax FAF95; check SAS, IndiGen, GenomeIndia</v>
      </c>
      <c r="AA145" s="20"/>
      <c r="AB145" s="20"/>
    </row>
    <row r="146" customFormat="false" ht="15" hidden="false" customHeight="false" outlineLevel="0" collapsed="false">
      <c r="A146" s="19" t="s">
        <v>294</v>
      </c>
      <c r="B146" s="20" t="s">
        <v>109</v>
      </c>
      <c r="C146" s="20" t="s">
        <v>213</v>
      </c>
      <c r="D146" s="21" t="n">
        <f aca="false">SUMIF(Indian_Gene_Shares!$B$5:$B$47,A146,Indian_Gene_Shares!$G$5:$G$47)</f>
        <v>0</v>
      </c>
      <c r="E146" s="9" t="n">
        <f aca="false">IFERROR(INDEX(ARIDE_Cohort!$C$6:$C$207,MATCH(A146,ARIDE_Cohort!$A$6:$A$207,0)),0)</f>
        <v>0</v>
      </c>
      <c r="F146" s="22" t="n">
        <f aca="false">MAX(Inputs!$B$24,IF(AND(Inputs!$B$29="ARIDE cohort",ARIDE_Cohort!$B$3&gt;=Inputs!$B$30),E146,D146))</f>
        <v>0.01</v>
      </c>
      <c r="G146" s="20" t="str">
        <f aca="false">IF(AND(Inputs!$B$29="ARIDE cohort",ARIDE_Cohort!$B$3&gt;=Inputs!$B$30),IF(E146&gt;Inputs!$B$24,"ARIDE cohort","Floor (ARIDE share below floor)"),IF(D146&gt;Inputs!$B$24,"Indian literature",IF(D146&gt;0,"Floor (Indian share below floor)","Floor (no Indian data)")))</f>
        <v>Floor (no Indian data)</v>
      </c>
      <c r="H146" s="23" t="n">
        <f aca="false">IF(B146="AR",Inputs!$B$14,IF(B146="AD",Inputs!$B$15,Inputs!$B$16))</f>
        <v>0.5</v>
      </c>
      <c r="I146" s="12"/>
      <c r="J146" s="24" t="n">
        <f aca="false">IF(I146="",H146,I146)</f>
        <v>0.5</v>
      </c>
      <c r="K146" s="12"/>
      <c r="L146" s="24" t="n">
        <f aca="false">IF(K146="",Inputs!$B$20,K146)</f>
        <v>0.5</v>
      </c>
      <c r="M146" s="25" t="n">
        <f aca="false">IF(B146="AR",SQRT(Inputs!$B$9*F146/J146),IF(B146="AD",Inputs!$B$9*F146/(2*J146),2*Inputs!$B$9*F146/J146))</f>
        <v>2.20985306828003E-005</v>
      </c>
      <c r="N146" s="25" t="n">
        <f aca="false">IF(B146="AR",IF(Inputs!$B$25=0,SQRT(Inputs!$B$8*F146/J146),(-Inputs!$B$25+SQRT(Inputs!$B$25^2+4*(1-Inputs!$B$25)*Inputs!$B$8*F146/J146))/(2*(1-Inputs!$B$25))),IF(B146="AD",Inputs!$B$8*F146/(2*J146),2*Inputs!$B$8*F146/J146))</f>
        <v>1.73321809276865E-005</v>
      </c>
      <c r="O146" s="25" t="n">
        <f aca="false">MIN(Inputs!$B$26,M146*L146)</f>
        <v>1.10492653414002E-005</v>
      </c>
      <c r="P146" s="25" t="n">
        <f aca="false">MIN(Inputs!$B$26,O146*Inputs!$B$19)</f>
        <v>0.000110492653414002</v>
      </c>
      <c r="Q146" s="25" t="n">
        <f aca="false">MIN(O146,N146*Inputs!$B$21)</f>
        <v>8.66609046384327E-007</v>
      </c>
      <c r="R146" s="26"/>
      <c r="S146" s="26"/>
      <c r="T146" s="26"/>
      <c r="U146" s="20" t="str">
        <f aca="false">IF(COUNT(R146:T146)&gt;0,"Published spec (+calc where blank)","Calculated (this workbook)")</f>
        <v>Calculated (this workbook)</v>
      </c>
      <c r="V146" s="28" t="n">
        <f aca="false">IF(R146="",MAX(P146,W146),R146)</f>
        <v>0.000110492653414002</v>
      </c>
      <c r="W146" s="28" t="n">
        <f aca="false">IF(S146="",O146,S146)</f>
        <v>1.10492653414002E-005</v>
      </c>
      <c r="X146" s="28" t="n">
        <f aca="false">IF(T146="",Q146,T146)</f>
        <v>8.66609046384327E-007</v>
      </c>
      <c r="Y146" s="20" t="str">
        <f aca="false">IF(S146="","",IF(O146&lt;S146,"Calc STRICTER (lower)","Calc more lenient (higher)"))</f>
        <v/>
      </c>
      <c r="Z146" s="20" t="str">
        <f aca="false">IF(B146="XL","Hemizygous male AF (grpmax)","grpmax FAF95; check SAS, IndiGen, GenomeIndia")</f>
        <v>grpmax FAF95; check SAS, IndiGen, GenomeIndia</v>
      </c>
      <c r="AA146" s="20"/>
      <c r="AB146" s="20"/>
    </row>
    <row r="147" customFormat="false" ht="15" hidden="false" customHeight="false" outlineLevel="0" collapsed="false">
      <c r="A147" s="19" t="s">
        <v>295</v>
      </c>
      <c r="B147" s="20" t="s">
        <v>96</v>
      </c>
      <c r="C147" s="20" t="s">
        <v>296</v>
      </c>
      <c r="D147" s="21" t="n">
        <f aca="false">SUMIF(Indian_Gene_Shares!$B$5:$B$47,A147,Indian_Gene_Shares!$G$5:$G$47)</f>
        <v>0</v>
      </c>
      <c r="E147" s="9" t="n">
        <f aca="false">IFERROR(INDEX(ARIDE_Cohort!$C$6:$C$207,MATCH(A147,ARIDE_Cohort!$A$6:$A$207,0)),0)</f>
        <v>0</v>
      </c>
      <c r="F147" s="22" t="n">
        <f aca="false">MAX(Inputs!$B$24,IF(AND(Inputs!$B$29="ARIDE cohort",ARIDE_Cohort!$B$3&gt;=Inputs!$B$30),E147,D147))</f>
        <v>0.01</v>
      </c>
      <c r="G147" s="20" t="str">
        <f aca="false">IF(AND(Inputs!$B$29="ARIDE cohort",ARIDE_Cohort!$B$3&gt;=Inputs!$B$30),IF(E147&gt;Inputs!$B$24,"ARIDE cohort","Floor (ARIDE share below floor)"),IF(D147&gt;Inputs!$B$24,"Indian literature",IF(D147&gt;0,"Floor (Indian share below floor)","Floor (no Indian data)")))</f>
        <v>Floor (no Indian data)</v>
      </c>
      <c r="H147" s="23" t="n">
        <f aca="false">IF(B147="AR",Inputs!$B$14,IF(B147="AD",Inputs!$B$15,Inputs!$B$16))</f>
        <v>1</v>
      </c>
      <c r="I147" s="12"/>
      <c r="J147" s="24" t="n">
        <f aca="false">IF(I147="",H147,I147)</f>
        <v>1</v>
      </c>
      <c r="K147" s="12"/>
      <c r="L147" s="24" t="n">
        <f aca="false">IF(K147="",Inputs!$B$20,K147)</f>
        <v>0.5</v>
      </c>
      <c r="M147" s="25" t="n">
        <f aca="false">IF(B147="AR",SQRT(Inputs!$B$9*F147/J147),IF(B147="AD",Inputs!$B$9*F147/(2*J147),2*Inputs!$B$9*F147/J147))</f>
        <v>0.00470090743184764</v>
      </c>
      <c r="N147" s="25" t="n">
        <f aca="false">IF(B147="AR",IF(Inputs!$B$25=0,SQRT(Inputs!$B$8*F147/J147),(-Inputs!$B$25+SQRT(Inputs!$B$25^2+4*(1-Inputs!$B$25)*Inputs!$B$8*F147/J147))/(2*(1-Inputs!$B$25))),IF(B147="AD",Inputs!$B$8*F147/(2*J147),2*Inputs!$B$8*F147/J147))</f>
        <v>0.00416319359719033</v>
      </c>
      <c r="O147" s="25" t="n">
        <f aca="false">MIN(Inputs!$B$26,M147*L147)</f>
        <v>0.00235045371592382</v>
      </c>
      <c r="P147" s="25" t="n">
        <f aca="false">MIN(Inputs!$B$26,O147*Inputs!$B$19)</f>
        <v>0.0235045371592382</v>
      </c>
      <c r="Q147" s="25" t="n">
        <f aca="false">MIN(O147,N147*Inputs!$B$21)</f>
        <v>0.000208159679859516</v>
      </c>
      <c r="R147" s="26"/>
      <c r="S147" s="26"/>
      <c r="T147" s="26"/>
      <c r="U147" s="20" t="str">
        <f aca="false">IF(COUNT(R147:T147)&gt;0,"Published spec (+calc where blank)","Calculated (this workbook)")</f>
        <v>Calculated (this workbook)</v>
      </c>
      <c r="V147" s="28" t="n">
        <f aca="false">IF(R147="",MAX(P147,W147),R147)</f>
        <v>0.0235045371592382</v>
      </c>
      <c r="W147" s="28" t="n">
        <f aca="false">IF(S147="",O147,S147)</f>
        <v>0.00235045371592382</v>
      </c>
      <c r="X147" s="28" t="n">
        <f aca="false">IF(T147="",Q147,T147)</f>
        <v>0.000208159679859516</v>
      </c>
      <c r="Y147" s="20" t="str">
        <f aca="false">IF(S147="","",IF(O147&lt;S147,"Calc STRICTER (lower)","Calc more lenient (higher)"))</f>
        <v/>
      </c>
      <c r="Z147" s="20" t="str">
        <f aca="false">IF(B147="XL","Hemizygous male AF (grpmax)","grpmax FAF95; check SAS, IndiGen, GenomeIndia")</f>
        <v>grpmax FAF95; check SAS, IndiGen, GenomeIndia</v>
      </c>
      <c r="AA147" s="20"/>
      <c r="AB147" s="20"/>
    </row>
    <row r="148" customFormat="false" ht="15" hidden="false" customHeight="false" outlineLevel="0" collapsed="false">
      <c r="A148" s="19" t="s">
        <v>297</v>
      </c>
      <c r="B148" s="20" t="s">
        <v>96</v>
      </c>
      <c r="C148" s="20" t="s">
        <v>105</v>
      </c>
      <c r="D148" s="21" t="n">
        <f aca="false">SUMIF(Indian_Gene_Shares!$B$5:$B$47,A148,Indian_Gene_Shares!$G$5:$G$47)</f>
        <v>0</v>
      </c>
      <c r="E148" s="9" t="n">
        <f aca="false">IFERROR(INDEX(ARIDE_Cohort!$C$6:$C$207,MATCH(A148,ARIDE_Cohort!$A$6:$A$207,0)),0)</f>
        <v>0</v>
      </c>
      <c r="F148" s="22" t="n">
        <f aca="false">MAX(Inputs!$B$24,IF(AND(Inputs!$B$29="ARIDE cohort",ARIDE_Cohort!$B$3&gt;=Inputs!$B$30),E148,D148))</f>
        <v>0.01</v>
      </c>
      <c r="G148" s="20" t="str">
        <f aca="false">IF(AND(Inputs!$B$29="ARIDE cohort",ARIDE_Cohort!$B$3&gt;=Inputs!$B$30),IF(E148&gt;Inputs!$B$24,"ARIDE cohort","Floor (ARIDE share below floor)"),IF(D148&gt;Inputs!$B$24,"Indian literature",IF(D148&gt;0,"Floor (Indian share below floor)","Floor (no Indian data)")))</f>
        <v>Floor (no Indian data)</v>
      </c>
      <c r="H148" s="23" t="n">
        <f aca="false">IF(B148="AR",Inputs!$B$14,IF(B148="AD",Inputs!$B$15,Inputs!$B$16))</f>
        <v>1</v>
      </c>
      <c r="I148" s="12"/>
      <c r="J148" s="24" t="n">
        <f aca="false">IF(I148="",H148,I148)</f>
        <v>1</v>
      </c>
      <c r="K148" s="12"/>
      <c r="L148" s="24" t="n">
        <f aca="false">IF(K148="",Inputs!$B$20,K148)</f>
        <v>0.5</v>
      </c>
      <c r="M148" s="25" t="n">
        <f aca="false">IF(B148="AR",SQRT(Inputs!$B$9*F148/J148),IF(B148="AD",Inputs!$B$9*F148/(2*J148),2*Inputs!$B$9*F148/J148))</f>
        <v>0.00470090743184764</v>
      </c>
      <c r="N148" s="25" t="n">
        <f aca="false">IF(B148="AR",IF(Inputs!$B$25=0,SQRT(Inputs!$B$8*F148/J148),(-Inputs!$B$25+SQRT(Inputs!$B$25^2+4*(1-Inputs!$B$25)*Inputs!$B$8*F148/J148))/(2*(1-Inputs!$B$25))),IF(B148="AD",Inputs!$B$8*F148/(2*J148),2*Inputs!$B$8*F148/J148))</f>
        <v>0.00416319359719033</v>
      </c>
      <c r="O148" s="25" t="n">
        <f aca="false">MIN(Inputs!$B$26,M148*L148)</f>
        <v>0.00235045371592382</v>
      </c>
      <c r="P148" s="25" t="n">
        <f aca="false">MIN(Inputs!$B$26,O148*Inputs!$B$19)</f>
        <v>0.0235045371592382</v>
      </c>
      <c r="Q148" s="25" t="n">
        <f aca="false">MIN(O148,N148*Inputs!$B$21)</f>
        <v>0.000208159679859516</v>
      </c>
      <c r="R148" s="26"/>
      <c r="S148" s="26"/>
      <c r="T148" s="26"/>
      <c r="U148" s="20" t="str">
        <f aca="false">IF(COUNT(R148:T148)&gt;0,"Published spec (+calc where blank)","Calculated (this workbook)")</f>
        <v>Calculated (this workbook)</v>
      </c>
      <c r="V148" s="28" t="n">
        <f aca="false">IF(R148="",MAX(P148,W148),R148)</f>
        <v>0.0235045371592382</v>
      </c>
      <c r="W148" s="28" t="n">
        <f aca="false">IF(S148="",O148,S148)</f>
        <v>0.00235045371592382</v>
      </c>
      <c r="X148" s="28" t="n">
        <f aca="false">IF(T148="",Q148,T148)</f>
        <v>0.000208159679859516</v>
      </c>
      <c r="Y148" s="20" t="str">
        <f aca="false">IF(S148="","",IF(O148&lt;S148,"Calc STRICTER (lower)","Calc more lenient (higher)"))</f>
        <v/>
      </c>
      <c r="Z148" s="20" t="str">
        <f aca="false">IF(B148="XL","Hemizygous male AF (grpmax)","grpmax FAF95; check SAS, IndiGen, GenomeIndia")</f>
        <v>grpmax FAF95; check SAS, IndiGen, GenomeIndia</v>
      </c>
      <c r="AA148" s="20"/>
      <c r="AB148" s="20"/>
    </row>
    <row r="149" customFormat="false" ht="15" hidden="false" customHeight="false" outlineLevel="0" collapsed="false">
      <c r="A149" s="19" t="s">
        <v>298</v>
      </c>
      <c r="B149" s="20" t="s">
        <v>96</v>
      </c>
      <c r="C149" s="20" t="s">
        <v>127</v>
      </c>
      <c r="D149" s="21" t="n">
        <f aca="false">SUMIF(Indian_Gene_Shares!$B$5:$B$47,A149,Indian_Gene_Shares!$G$5:$G$47)</f>
        <v>0</v>
      </c>
      <c r="E149" s="9" t="n">
        <f aca="false">IFERROR(INDEX(ARIDE_Cohort!$C$6:$C$207,MATCH(A149,ARIDE_Cohort!$A$6:$A$207,0)),0)</f>
        <v>0</v>
      </c>
      <c r="F149" s="22" t="n">
        <f aca="false">MAX(Inputs!$B$24,IF(AND(Inputs!$B$29="ARIDE cohort",ARIDE_Cohort!$B$3&gt;=Inputs!$B$30),E149,D149))</f>
        <v>0.01</v>
      </c>
      <c r="G149" s="20" t="str">
        <f aca="false">IF(AND(Inputs!$B$29="ARIDE cohort",ARIDE_Cohort!$B$3&gt;=Inputs!$B$30),IF(E149&gt;Inputs!$B$24,"ARIDE cohort","Floor (ARIDE share below floor)"),IF(D149&gt;Inputs!$B$24,"Indian literature",IF(D149&gt;0,"Floor (Indian share below floor)","Floor (no Indian data)")))</f>
        <v>Floor (no Indian data)</v>
      </c>
      <c r="H149" s="23" t="n">
        <f aca="false">IF(B149="AR",Inputs!$B$14,IF(B149="AD",Inputs!$B$15,Inputs!$B$16))</f>
        <v>1</v>
      </c>
      <c r="I149" s="12"/>
      <c r="J149" s="24" t="n">
        <f aca="false">IF(I149="",H149,I149)</f>
        <v>1</v>
      </c>
      <c r="K149" s="12"/>
      <c r="L149" s="24" t="n">
        <f aca="false">IF(K149="",Inputs!$B$20,K149)</f>
        <v>0.5</v>
      </c>
      <c r="M149" s="25" t="n">
        <f aca="false">IF(B149="AR",SQRT(Inputs!$B$9*F149/J149),IF(B149="AD",Inputs!$B$9*F149/(2*J149),2*Inputs!$B$9*F149/J149))</f>
        <v>0.00470090743184764</v>
      </c>
      <c r="N149" s="25" t="n">
        <f aca="false">IF(B149="AR",IF(Inputs!$B$25=0,SQRT(Inputs!$B$8*F149/J149),(-Inputs!$B$25+SQRT(Inputs!$B$25^2+4*(1-Inputs!$B$25)*Inputs!$B$8*F149/J149))/(2*(1-Inputs!$B$25))),IF(B149="AD",Inputs!$B$8*F149/(2*J149),2*Inputs!$B$8*F149/J149))</f>
        <v>0.00416319359719033</v>
      </c>
      <c r="O149" s="25" t="n">
        <f aca="false">MIN(Inputs!$B$26,M149*L149)</f>
        <v>0.00235045371592382</v>
      </c>
      <c r="P149" s="25" t="n">
        <f aca="false">MIN(Inputs!$B$26,O149*Inputs!$B$19)</f>
        <v>0.0235045371592382</v>
      </c>
      <c r="Q149" s="25" t="n">
        <f aca="false">MIN(O149,N149*Inputs!$B$21)</f>
        <v>0.000208159679859516</v>
      </c>
      <c r="R149" s="26"/>
      <c r="S149" s="26"/>
      <c r="T149" s="26"/>
      <c r="U149" s="20" t="str">
        <f aca="false">IF(COUNT(R149:T149)&gt;0,"Published spec (+calc where blank)","Calculated (this workbook)")</f>
        <v>Calculated (this workbook)</v>
      </c>
      <c r="V149" s="28" t="n">
        <f aca="false">IF(R149="",MAX(P149,W149),R149)</f>
        <v>0.0235045371592382</v>
      </c>
      <c r="W149" s="28" t="n">
        <f aca="false">IF(S149="",O149,S149)</f>
        <v>0.00235045371592382</v>
      </c>
      <c r="X149" s="28" t="n">
        <f aca="false">IF(T149="",Q149,T149)</f>
        <v>0.000208159679859516</v>
      </c>
      <c r="Y149" s="20" t="str">
        <f aca="false">IF(S149="","",IF(O149&lt;S149,"Calc STRICTER (lower)","Calc more lenient (higher)"))</f>
        <v/>
      </c>
      <c r="Z149" s="20" t="str">
        <f aca="false">IF(B149="XL","Hemizygous male AF (grpmax)","grpmax FAF95; check SAS, IndiGen, GenomeIndia")</f>
        <v>grpmax FAF95; check SAS, IndiGen, GenomeIndia</v>
      </c>
      <c r="AA149" s="20"/>
      <c r="AB149" s="20"/>
    </row>
    <row r="150" customFormat="false" ht="15" hidden="false" customHeight="false" outlineLevel="0" collapsed="false">
      <c r="A150" s="19" t="s">
        <v>299</v>
      </c>
      <c r="B150" s="20" t="s">
        <v>96</v>
      </c>
      <c r="C150" s="20" t="s">
        <v>300</v>
      </c>
      <c r="D150" s="21" t="n">
        <f aca="false">SUMIF(Indian_Gene_Shares!$B$5:$B$47,A150,Indian_Gene_Shares!$G$5:$G$47)</f>
        <v>0</v>
      </c>
      <c r="E150" s="9" t="n">
        <f aca="false">IFERROR(INDEX(ARIDE_Cohort!$C$6:$C$207,MATCH(A150,ARIDE_Cohort!$A$6:$A$207,0)),0)</f>
        <v>0</v>
      </c>
      <c r="F150" s="22" t="n">
        <f aca="false">MAX(Inputs!$B$24,IF(AND(Inputs!$B$29="ARIDE cohort",ARIDE_Cohort!$B$3&gt;=Inputs!$B$30),E150,D150))</f>
        <v>0.01</v>
      </c>
      <c r="G150" s="20" t="str">
        <f aca="false">IF(AND(Inputs!$B$29="ARIDE cohort",ARIDE_Cohort!$B$3&gt;=Inputs!$B$30),IF(E150&gt;Inputs!$B$24,"ARIDE cohort","Floor (ARIDE share below floor)"),IF(D150&gt;Inputs!$B$24,"Indian literature",IF(D150&gt;0,"Floor (Indian share below floor)","Floor (no Indian data)")))</f>
        <v>Floor (no Indian data)</v>
      </c>
      <c r="H150" s="23" t="n">
        <f aca="false">IF(B150="AR",Inputs!$B$14,IF(B150="AD",Inputs!$B$15,Inputs!$B$16))</f>
        <v>1</v>
      </c>
      <c r="I150" s="12"/>
      <c r="J150" s="24" t="n">
        <f aca="false">IF(I150="",H150,I150)</f>
        <v>1</v>
      </c>
      <c r="K150" s="12"/>
      <c r="L150" s="24" t="n">
        <f aca="false">IF(K150="",Inputs!$B$20,K150)</f>
        <v>0.5</v>
      </c>
      <c r="M150" s="25" t="n">
        <f aca="false">IF(B150="AR",SQRT(Inputs!$B$9*F150/J150),IF(B150="AD",Inputs!$B$9*F150/(2*J150),2*Inputs!$B$9*F150/J150))</f>
        <v>0.00470090743184764</v>
      </c>
      <c r="N150" s="25" t="n">
        <f aca="false">IF(B150="AR",IF(Inputs!$B$25=0,SQRT(Inputs!$B$8*F150/J150),(-Inputs!$B$25+SQRT(Inputs!$B$25^2+4*(1-Inputs!$B$25)*Inputs!$B$8*F150/J150))/(2*(1-Inputs!$B$25))),IF(B150="AD",Inputs!$B$8*F150/(2*J150),2*Inputs!$B$8*F150/J150))</f>
        <v>0.00416319359719033</v>
      </c>
      <c r="O150" s="25" t="n">
        <f aca="false">MIN(Inputs!$B$26,M150*L150)</f>
        <v>0.00235045371592382</v>
      </c>
      <c r="P150" s="25" t="n">
        <f aca="false">MIN(Inputs!$B$26,O150*Inputs!$B$19)</f>
        <v>0.0235045371592382</v>
      </c>
      <c r="Q150" s="25" t="n">
        <f aca="false">MIN(O150,N150*Inputs!$B$21)</f>
        <v>0.000208159679859516</v>
      </c>
      <c r="R150" s="26"/>
      <c r="S150" s="26"/>
      <c r="T150" s="26"/>
      <c r="U150" s="20" t="str">
        <f aca="false">IF(COUNT(R150:T150)&gt;0,"Published spec (+calc where blank)","Calculated (this workbook)")</f>
        <v>Calculated (this workbook)</v>
      </c>
      <c r="V150" s="28" t="n">
        <f aca="false">IF(R150="",MAX(P150,W150),R150)</f>
        <v>0.0235045371592382</v>
      </c>
      <c r="W150" s="28" t="n">
        <f aca="false">IF(S150="",O150,S150)</f>
        <v>0.00235045371592382</v>
      </c>
      <c r="X150" s="28" t="n">
        <f aca="false">IF(T150="",Q150,T150)</f>
        <v>0.000208159679859516</v>
      </c>
      <c r="Y150" s="20" t="str">
        <f aca="false">IF(S150="","",IF(O150&lt;S150,"Calc STRICTER (lower)","Calc more lenient (higher)"))</f>
        <v/>
      </c>
      <c r="Z150" s="20" t="str">
        <f aca="false">IF(B150="XL","Hemizygous male AF (grpmax)","grpmax FAF95; check SAS, IndiGen, GenomeIndia")</f>
        <v>grpmax FAF95; check SAS, IndiGen, GenomeIndia</v>
      </c>
      <c r="AA150" s="20"/>
      <c r="AB150" s="20"/>
    </row>
    <row r="151" customFormat="false" ht="15" hidden="false" customHeight="false" outlineLevel="0" collapsed="false">
      <c r="A151" s="19" t="s">
        <v>301</v>
      </c>
      <c r="B151" s="20" t="s">
        <v>96</v>
      </c>
      <c r="C151" s="20" t="s">
        <v>302</v>
      </c>
      <c r="D151" s="21" t="n">
        <f aca="false">SUMIF(Indian_Gene_Shares!$B$5:$B$47,A151,Indian_Gene_Shares!$G$5:$G$47)</f>
        <v>0</v>
      </c>
      <c r="E151" s="9" t="n">
        <f aca="false">IFERROR(INDEX(ARIDE_Cohort!$C$6:$C$207,MATCH(A151,ARIDE_Cohort!$A$6:$A$207,0)),0)</f>
        <v>0</v>
      </c>
      <c r="F151" s="22" t="n">
        <f aca="false">MAX(Inputs!$B$24,IF(AND(Inputs!$B$29="ARIDE cohort",ARIDE_Cohort!$B$3&gt;=Inputs!$B$30),E151,D151))</f>
        <v>0.01</v>
      </c>
      <c r="G151" s="20" t="str">
        <f aca="false">IF(AND(Inputs!$B$29="ARIDE cohort",ARIDE_Cohort!$B$3&gt;=Inputs!$B$30),IF(E151&gt;Inputs!$B$24,"ARIDE cohort","Floor (ARIDE share below floor)"),IF(D151&gt;Inputs!$B$24,"Indian literature",IF(D151&gt;0,"Floor (Indian share below floor)","Floor (no Indian data)")))</f>
        <v>Floor (no Indian data)</v>
      </c>
      <c r="H151" s="23" t="n">
        <f aca="false">IF(B151="AR",Inputs!$B$14,IF(B151="AD",Inputs!$B$15,Inputs!$B$16))</f>
        <v>1</v>
      </c>
      <c r="I151" s="12"/>
      <c r="J151" s="24" t="n">
        <f aca="false">IF(I151="",H151,I151)</f>
        <v>1</v>
      </c>
      <c r="K151" s="12"/>
      <c r="L151" s="24" t="n">
        <f aca="false">IF(K151="",Inputs!$B$20,K151)</f>
        <v>0.5</v>
      </c>
      <c r="M151" s="25" t="n">
        <f aca="false">IF(B151="AR",SQRT(Inputs!$B$9*F151/J151),IF(B151="AD",Inputs!$B$9*F151/(2*J151),2*Inputs!$B$9*F151/J151))</f>
        <v>0.00470090743184764</v>
      </c>
      <c r="N151" s="25" t="n">
        <f aca="false">IF(B151="AR",IF(Inputs!$B$25=0,SQRT(Inputs!$B$8*F151/J151),(-Inputs!$B$25+SQRT(Inputs!$B$25^2+4*(1-Inputs!$B$25)*Inputs!$B$8*F151/J151))/(2*(1-Inputs!$B$25))),IF(B151="AD",Inputs!$B$8*F151/(2*J151),2*Inputs!$B$8*F151/J151))</f>
        <v>0.00416319359719033</v>
      </c>
      <c r="O151" s="25" t="n">
        <f aca="false">MIN(Inputs!$B$26,M151*L151)</f>
        <v>0.00235045371592382</v>
      </c>
      <c r="P151" s="25" t="n">
        <f aca="false">MIN(Inputs!$B$26,O151*Inputs!$B$19)</f>
        <v>0.0235045371592382</v>
      </c>
      <c r="Q151" s="25" t="n">
        <f aca="false">MIN(O151,N151*Inputs!$B$21)</f>
        <v>0.000208159679859516</v>
      </c>
      <c r="R151" s="26"/>
      <c r="S151" s="26"/>
      <c r="T151" s="26"/>
      <c r="U151" s="20" t="str">
        <f aca="false">IF(COUNT(R151:T151)&gt;0,"Published spec (+calc where blank)","Calculated (this workbook)")</f>
        <v>Calculated (this workbook)</v>
      </c>
      <c r="V151" s="28" t="n">
        <f aca="false">IF(R151="",MAX(P151,W151),R151)</f>
        <v>0.0235045371592382</v>
      </c>
      <c r="W151" s="28" t="n">
        <f aca="false">IF(S151="",O151,S151)</f>
        <v>0.00235045371592382</v>
      </c>
      <c r="X151" s="28" t="n">
        <f aca="false">IF(T151="",Q151,T151)</f>
        <v>0.000208159679859516</v>
      </c>
      <c r="Y151" s="20" t="str">
        <f aca="false">IF(S151="","",IF(O151&lt;S151,"Calc STRICTER (lower)","Calc more lenient (higher)"))</f>
        <v/>
      </c>
      <c r="Z151" s="20" t="str">
        <f aca="false">IF(B151="XL","Hemizygous male AF (grpmax)","grpmax FAF95; check SAS, IndiGen, GenomeIndia")</f>
        <v>grpmax FAF95; check SAS, IndiGen, GenomeIndia</v>
      </c>
      <c r="AA151" s="20"/>
      <c r="AB151" s="20"/>
    </row>
    <row r="152" customFormat="false" ht="15" hidden="false" customHeight="false" outlineLevel="0" collapsed="false">
      <c r="A152" s="19" t="s">
        <v>303</v>
      </c>
      <c r="B152" s="20" t="s">
        <v>96</v>
      </c>
      <c r="C152" s="20" t="s">
        <v>302</v>
      </c>
      <c r="D152" s="21" t="n">
        <f aca="false">SUMIF(Indian_Gene_Shares!$B$5:$B$47,A152,Indian_Gene_Shares!$G$5:$G$47)</f>
        <v>0</v>
      </c>
      <c r="E152" s="9" t="n">
        <f aca="false">IFERROR(INDEX(ARIDE_Cohort!$C$6:$C$207,MATCH(A152,ARIDE_Cohort!$A$6:$A$207,0)),0)</f>
        <v>0</v>
      </c>
      <c r="F152" s="22" t="n">
        <f aca="false">MAX(Inputs!$B$24,IF(AND(Inputs!$B$29="ARIDE cohort",ARIDE_Cohort!$B$3&gt;=Inputs!$B$30),E152,D152))</f>
        <v>0.01</v>
      </c>
      <c r="G152" s="20" t="str">
        <f aca="false">IF(AND(Inputs!$B$29="ARIDE cohort",ARIDE_Cohort!$B$3&gt;=Inputs!$B$30),IF(E152&gt;Inputs!$B$24,"ARIDE cohort","Floor (ARIDE share below floor)"),IF(D152&gt;Inputs!$B$24,"Indian literature",IF(D152&gt;0,"Floor (Indian share below floor)","Floor (no Indian data)")))</f>
        <v>Floor (no Indian data)</v>
      </c>
      <c r="H152" s="23" t="n">
        <f aca="false">IF(B152="AR",Inputs!$B$14,IF(B152="AD",Inputs!$B$15,Inputs!$B$16))</f>
        <v>1</v>
      </c>
      <c r="I152" s="12"/>
      <c r="J152" s="24" t="n">
        <f aca="false">IF(I152="",H152,I152)</f>
        <v>1</v>
      </c>
      <c r="K152" s="12"/>
      <c r="L152" s="24" t="n">
        <f aca="false">IF(K152="",Inputs!$B$20,K152)</f>
        <v>0.5</v>
      </c>
      <c r="M152" s="25" t="n">
        <f aca="false">IF(B152="AR",SQRT(Inputs!$B$9*F152/J152),IF(B152="AD",Inputs!$B$9*F152/(2*J152),2*Inputs!$B$9*F152/J152))</f>
        <v>0.00470090743184764</v>
      </c>
      <c r="N152" s="25" t="n">
        <f aca="false">IF(B152="AR",IF(Inputs!$B$25=0,SQRT(Inputs!$B$8*F152/J152),(-Inputs!$B$25+SQRT(Inputs!$B$25^2+4*(1-Inputs!$B$25)*Inputs!$B$8*F152/J152))/(2*(1-Inputs!$B$25))),IF(B152="AD",Inputs!$B$8*F152/(2*J152),2*Inputs!$B$8*F152/J152))</f>
        <v>0.00416319359719033</v>
      </c>
      <c r="O152" s="25" t="n">
        <f aca="false">MIN(Inputs!$B$26,M152*L152)</f>
        <v>0.00235045371592382</v>
      </c>
      <c r="P152" s="25" t="n">
        <f aca="false">MIN(Inputs!$B$26,O152*Inputs!$B$19)</f>
        <v>0.0235045371592382</v>
      </c>
      <c r="Q152" s="25" t="n">
        <f aca="false">MIN(O152,N152*Inputs!$B$21)</f>
        <v>0.000208159679859516</v>
      </c>
      <c r="R152" s="26"/>
      <c r="S152" s="26"/>
      <c r="T152" s="26"/>
      <c r="U152" s="20" t="str">
        <f aca="false">IF(COUNT(R152:T152)&gt;0,"Published spec (+calc where blank)","Calculated (this workbook)")</f>
        <v>Calculated (this workbook)</v>
      </c>
      <c r="V152" s="28" t="n">
        <f aca="false">IF(R152="",MAX(P152,W152),R152)</f>
        <v>0.0235045371592382</v>
      </c>
      <c r="W152" s="28" t="n">
        <f aca="false">IF(S152="",O152,S152)</f>
        <v>0.00235045371592382</v>
      </c>
      <c r="X152" s="28" t="n">
        <f aca="false">IF(T152="",Q152,T152)</f>
        <v>0.000208159679859516</v>
      </c>
      <c r="Y152" s="20" t="str">
        <f aca="false">IF(S152="","",IF(O152&lt;S152,"Calc STRICTER (lower)","Calc more lenient (higher)"))</f>
        <v/>
      </c>
      <c r="Z152" s="20" t="str">
        <f aca="false">IF(B152="XL","Hemizygous male AF (grpmax)","grpmax FAF95; check SAS, IndiGen, GenomeIndia")</f>
        <v>grpmax FAF95; check SAS, IndiGen, GenomeIndia</v>
      </c>
      <c r="AA152" s="20"/>
      <c r="AB152" s="20"/>
    </row>
    <row r="153" customFormat="false" ht="15" hidden="false" customHeight="false" outlineLevel="0" collapsed="false">
      <c r="A153" s="19" t="s">
        <v>304</v>
      </c>
      <c r="B153" s="20" t="s">
        <v>109</v>
      </c>
      <c r="C153" s="20" t="s">
        <v>103</v>
      </c>
      <c r="D153" s="21" t="n">
        <f aca="false">SUMIF(Indian_Gene_Shares!$B$5:$B$47,A153,Indian_Gene_Shares!$G$5:$G$47)</f>
        <v>0</v>
      </c>
      <c r="E153" s="9" t="n">
        <f aca="false">IFERROR(INDEX(ARIDE_Cohort!$C$6:$C$207,MATCH(A153,ARIDE_Cohort!$A$6:$A$207,0)),0)</f>
        <v>0</v>
      </c>
      <c r="F153" s="22" t="n">
        <f aca="false">MAX(Inputs!$B$24,IF(AND(Inputs!$B$29="ARIDE cohort",ARIDE_Cohort!$B$3&gt;=Inputs!$B$30),E153,D153))</f>
        <v>0.01</v>
      </c>
      <c r="G153" s="20" t="str">
        <f aca="false">IF(AND(Inputs!$B$29="ARIDE cohort",ARIDE_Cohort!$B$3&gt;=Inputs!$B$30),IF(E153&gt;Inputs!$B$24,"ARIDE cohort","Floor (ARIDE share below floor)"),IF(D153&gt;Inputs!$B$24,"Indian literature",IF(D153&gt;0,"Floor (Indian share below floor)","Floor (no Indian data)")))</f>
        <v>Floor (no Indian data)</v>
      </c>
      <c r="H153" s="23" t="n">
        <f aca="false">IF(B153="AR",Inputs!$B$14,IF(B153="AD",Inputs!$B$15,Inputs!$B$16))</f>
        <v>0.5</v>
      </c>
      <c r="I153" s="12"/>
      <c r="J153" s="24" t="n">
        <f aca="false">IF(I153="",H153,I153)</f>
        <v>0.5</v>
      </c>
      <c r="K153" s="12"/>
      <c r="L153" s="24" t="n">
        <f aca="false">IF(K153="",Inputs!$B$20,K153)</f>
        <v>0.5</v>
      </c>
      <c r="M153" s="25" t="n">
        <f aca="false">IF(B153="AR",SQRT(Inputs!$B$9*F153/J153),IF(B153="AD",Inputs!$B$9*F153/(2*J153),2*Inputs!$B$9*F153/J153))</f>
        <v>2.20985306828003E-005</v>
      </c>
      <c r="N153" s="25" t="n">
        <f aca="false">IF(B153="AR",IF(Inputs!$B$25=0,SQRT(Inputs!$B$8*F153/J153),(-Inputs!$B$25+SQRT(Inputs!$B$25^2+4*(1-Inputs!$B$25)*Inputs!$B$8*F153/J153))/(2*(1-Inputs!$B$25))),IF(B153="AD",Inputs!$B$8*F153/(2*J153),2*Inputs!$B$8*F153/J153))</f>
        <v>1.73321809276865E-005</v>
      </c>
      <c r="O153" s="25" t="n">
        <f aca="false">MIN(Inputs!$B$26,M153*L153)</f>
        <v>1.10492653414002E-005</v>
      </c>
      <c r="P153" s="25" t="n">
        <f aca="false">MIN(Inputs!$B$26,O153*Inputs!$B$19)</f>
        <v>0.000110492653414002</v>
      </c>
      <c r="Q153" s="25" t="n">
        <f aca="false">MIN(O153,N153*Inputs!$B$21)</f>
        <v>8.66609046384327E-007</v>
      </c>
      <c r="R153" s="26"/>
      <c r="S153" s="26"/>
      <c r="T153" s="26"/>
      <c r="U153" s="20" t="str">
        <f aca="false">IF(COUNT(R153:T153)&gt;0,"Published spec (+calc where blank)","Calculated (this workbook)")</f>
        <v>Calculated (this workbook)</v>
      </c>
      <c r="V153" s="28" t="n">
        <f aca="false">IF(R153="",MAX(P153,W153),R153)</f>
        <v>0.000110492653414002</v>
      </c>
      <c r="W153" s="28" t="n">
        <f aca="false">IF(S153="",O153,S153)</f>
        <v>1.10492653414002E-005</v>
      </c>
      <c r="X153" s="28" t="n">
        <f aca="false">IF(T153="",Q153,T153)</f>
        <v>8.66609046384327E-007</v>
      </c>
      <c r="Y153" s="20" t="str">
        <f aca="false">IF(S153="","",IF(O153&lt;S153,"Calc STRICTER (lower)","Calc more lenient (higher)"))</f>
        <v/>
      </c>
      <c r="Z153" s="20" t="str">
        <f aca="false">IF(B153="XL","Hemizygous male AF (grpmax)","grpmax FAF95; check SAS, IndiGen, GenomeIndia")</f>
        <v>grpmax FAF95; check SAS, IndiGen, GenomeIndia</v>
      </c>
      <c r="AA153" s="20"/>
      <c r="AB153" s="20"/>
    </row>
    <row r="154" customFormat="false" ht="15" hidden="false" customHeight="false" outlineLevel="0" collapsed="false">
      <c r="A154" s="19" t="s">
        <v>305</v>
      </c>
      <c r="B154" s="20" t="s">
        <v>96</v>
      </c>
      <c r="C154" s="20" t="s">
        <v>306</v>
      </c>
      <c r="D154" s="21" t="n">
        <f aca="false">SUMIF(Indian_Gene_Shares!$B$5:$B$47,A154,Indian_Gene_Shares!$G$5:$G$47)</f>
        <v>0</v>
      </c>
      <c r="E154" s="9" t="n">
        <f aca="false">IFERROR(INDEX(ARIDE_Cohort!$C$6:$C$207,MATCH(A154,ARIDE_Cohort!$A$6:$A$207,0)),0)</f>
        <v>0</v>
      </c>
      <c r="F154" s="22" t="n">
        <f aca="false">MAX(Inputs!$B$24,IF(AND(Inputs!$B$29="ARIDE cohort",ARIDE_Cohort!$B$3&gt;=Inputs!$B$30),E154,D154))</f>
        <v>0.01</v>
      </c>
      <c r="G154" s="20" t="str">
        <f aca="false">IF(AND(Inputs!$B$29="ARIDE cohort",ARIDE_Cohort!$B$3&gt;=Inputs!$B$30),IF(E154&gt;Inputs!$B$24,"ARIDE cohort","Floor (ARIDE share below floor)"),IF(D154&gt;Inputs!$B$24,"Indian literature",IF(D154&gt;0,"Floor (Indian share below floor)","Floor (no Indian data)")))</f>
        <v>Floor (no Indian data)</v>
      </c>
      <c r="H154" s="23" t="n">
        <f aca="false">IF(B154="AR",Inputs!$B$14,IF(B154="AD",Inputs!$B$15,Inputs!$B$16))</f>
        <v>1</v>
      </c>
      <c r="I154" s="12"/>
      <c r="J154" s="24" t="n">
        <f aca="false">IF(I154="",H154,I154)</f>
        <v>1</v>
      </c>
      <c r="K154" s="12"/>
      <c r="L154" s="24" t="n">
        <f aca="false">IF(K154="",Inputs!$B$20,K154)</f>
        <v>0.5</v>
      </c>
      <c r="M154" s="25" t="n">
        <f aca="false">IF(B154="AR",SQRT(Inputs!$B$9*F154/J154),IF(B154="AD",Inputs!$B$9*F154/(2*J154),2*Inputs!$B$9*F154/J154))</f>
        <v>0.00470090743184764</v>
      </c>
      <c r="N154" s="25" t="n">
        <f aca="false">IF(B154="AR",IF(Inputs!$B$25=0,SQRT(Inputs!$B$8*F154/J154),(-Inputs!$B$25+SQRT(Inputs!$B$25^2+4*(1-Inputs!$B$25)*Inputs!$B$8*F154/J154))/(2*(1-Inputs!$B$25))),IF(B154="AD",Inputs!$B$8*F154/(2*J154),2*Inputs!$B$8*F154/J154))</f>
        <v>0.00416319359719033</v>
      </c>
      <c r="O154" s="25" t="n">
        <f aca="false">MIN(Inputs!$B$26,M154*L154)</f>
        <v>0.00235045371592382</v>
      </c>
      <c r="P154" s="25" t="n">
        <f aca="false">MIN(Inputs!$B$26,O154*Inputs!$B$19)</f>
        <v>0.0235045371592382</v>
      </c>
      <c r="Q154" s="25" t="n">
        <f aca="false">MIN(O154,N154*Inputs!$B$21)</f>
        <v>0.000208159679859516</v>
      </c>
      <c r="R154" s="26"/>
      <c r="S154" s="26"/>
      <c r="T154" s="26"/>
      <c r="U154" s="20" t="str">
        <f aca="false">IF(COUNT(R154:T154)&gt;0,"Published spec (+calc where blank)","Calculated (this workbook)")</f>
        <v>Calculated (this workbook)</v>
      </c>
      <c r="V154" s="28" t="n">
        <f aca="false">IF(R154="",MAX(P154,W154),R154)</f>
        <v>0.0235045371592382</v>
      </c>
      <c r="W154" s="28" t="n">
        <f aca="false">IF(S154="",O154,S154)</f>
        <v>0.00235045371592382</v>
      </c>
      <c r="X154" s="28" t="n">
        <f aca="false">IF(T154="",Q154,T154)</f>
        <v>0.000208159679859516</v>
      </c>
      <c r="Y154" s="20" t="str">
        <f aca="false">IF(S154="","",IF(O154&lt;S154,"Calc STRICTER (lower)","Calc more lenient (higher)"))</f>
        <v/>
      </c>
      <c r="Z154" s="20" t="str">
        <f aca="false">IF(B154="XL","Hemizygous male AF (grpmax)","grpmax FAF95; check SAS, IndiGen, GenomeIndia")</f>
        <v>grpmax FAF95; check SAS, IndiGen, GenomeIndia</v>
      </c>
      <c r="AA154" s="20"/>
      <c r="AB154" s="20"/>
    </row>
    <row r="155" customFormat="false" ht="15" hidden="false" customHeight="false" outlineLevel="0" collapsed="false">
      <c r="A155" s="19" t="s">
        <v>307</v>
      </c>
      <c r="B155" s="20" t="s">
        <v>96</v>
      </c>
      <c r="C155" s="20" t="s">
        <v>308</v>
      </c>
      <c r="D155" s="21" t="n">
        <f aca="false">SUMIF(Indian_Gene_Shares!$B$5:$B$47,A155,Indian_Gene_Shares!$G$5:$G$47)</f>
        <v>0</v>
      </c>
      <c r="E155" s="9" t="n">
        <f aca="false">IFERROR(INDEX(ARIDE_Cohort!$C$6:$C$207,MATCH(A155,ARIDE_Cohort!$A$6:$A$207,0)),0)</f>
        <v>0</v>
      </c>
      <c r="F155" s="22" t="n">
        <f aca="false">MAX(Inputs!$B$24,IF(AND(Inputs!$B$29="ARIDE cohort",ARIDE_Cohort!$B$3&gt;=Inputs!$B$30),E155,D155))</f>
        <v>0.01</v>
      </c>
      <c r="G155" s="20" t="str">
        <f aca="false">IF(AND(Inputs!$B$29="ARIDE cohort",ARIDE_Cohort!$B$3&gt;=Inputs!$B$30),IF(E155&gt;Inputs!$B$24,"ARIDE cohort","Floor (ARIDE share below floor)"),IF(D155&gt;Inputs!$B$24,"Indian literature",IF(D155&gt;0,"Floor (Indian share below floor)","Floor (no Indian data)")))</f>
        <v>Floor (no Indian data)</v>
      </c>
      <c r="H155" s="23" t="n">
        <f aca="false">IF(B155="AR",Inputs!$B$14,IF(B155="AD",Inputs!$B$15,Inputs!$B$16))</f>
        <v>1</v>
      </c>
      <c r="I155" s="12"/>
      <c r="J155" s="24" t="n">
        <f aca="false">IF(I155="",H155,I155)</f>
        <v>1</v>
      </c>
      <c r="K155" s="12"/>
      <c r="L155" s="24" t="n">
        <f aca="false">IF(K155="",Inputs!$B$20,K155)</f>
        <v>0.5</v>
      </c>
      <c r="M155" s="25" t="n">
        <f aca="false">IF(B155="AR",SQRT(Inputs!$B$9*F155/J155),IF(B155="AD",Inputs!$B$9*F155/(2*J155),2*Inputs!$B$9*F155/J155))</f>
        <v>0.00470090743184764</v>
      </c>
      <c r="N155" s="25" t="n">
        <f aca="false">IF(B155="AR",IF(Inputs!$B$25=0,SQRT(Inputs!$B$8*F155/J155),(-Inputs!$B$25+SQRT(Inputs!$B$25^2+4*(1-Inputs!$B$25)*Inputs!$B$8*F155/J155))/(2*(1-Inputs!$B$25))),IF(B155="AD",Inputs!$B$8*F155/(2*J155),2*Inputs!$B$8*F155/J155))</f>
        <v>0.00416319359719033</v>
      </c>
      <c r="O155" s="25" t="n">
        <f aca="false">MIN(Inputs!$B$26,M155*L155)</f>
        <v>0.00235045371592382</v>
      </c>
      <c r="P155" s="25" t="n">
        <f aca="false">MIN(Inputs!$B$26,O155*Inputs!$B$19)</f>
        <v>0.0235045371592382</v>
      </c>
      <c r="Q155" s="25" t="n">
        <f aca="false">MIN(O155,N155*Inputs!$B$21)</f>
        <v>0.000208159679859516</v>
      </c>
      <c r="R155" s="26"/>
      <c r="S155" s="26"/>
      <c r="T155" s="26"/>
      <c r="U155" s="20" t="str">
        <f aca="false">IF(COUNT(R155:T155)&gt;0,"Published spec (+calc where blank)","Calculated (this workbook)")</f>
        <v>Calculated (this workbook)</v>
      </c>
      <c r="V155" s="28" t="n">
        <f aca="false">IF(R155="",MAX(P155,W155),R155)</f>
        <v>0.0235045371592382</v>
      </c>
      <c r="W155" s="28" t="n">
        <f aca="false">IF(S155="",O155,S155)</f>
        <v>0.00235045371592382</v>
      </c>
      <c r="X155" s="28" t="n">
        <f aca="false">IF(T155="",Q155,T155)</f>
        <v>0.000208159679859516</v>
      </c>
      <c r="Y155" s="20" t="str">
        <f aca="false">IF(S155="","",IF(O155&lt;S155,"Calc STRICTER (lower)","Calc more lenient (higher)"))</f>
        <v/>
      </c>
      <c r="Z155" s="20" t="str">
        <f aca="false">IF(B155="XL","Hemizygous male AF (grpmax)","grpmax FAF95; check SAS, IndiGen, GenomeIndia")</f>
        <v>grpmax FAF95; check SAS, IndiGen, GenomeIndia</v>
      </c>
      <c r="AA155" s="20"/>
      <c r="AB155" s="20"/>
    </row>
    <row r="156" customFormat="false" ht="15" hidden="false" customHeight="false" outlineLevel="0" collapsed="false">
      <c r="A156" s="19" t="s">
        <v>309</v>
      </c>
      <c r="B156" s="20" t="s">
        <v>96</v>
      </c>
      <c r="C156" s="20" t="s">
        <v>103</v>
      </c>
      <c r="D156" s="21" t="n">
        <f aca="false">SUMIF(Indian_Gene_Shares!$B$5:$B$47,A156,Indian_Gene_Shares!$G$5:$G$47)</f>
        <v>0</v>
      </c>
      <c r="E156" s="9" t="n">
        <f aca="false">IFERROR(INDEX(ARIDE_Cohort!$C$6:$C$207,MATCH(A156,ARIDE_Cohort!$A$6:$A$207,0)),0)</f>
        <v>0</v>
      </c>
      <c r="F156" s="22" t="n">
        <f aca="false">MAX(Inputs!$B$24,IF(AND(Inputs!$B$29="ARIDE cohort",ARIDE_Cohort!$B$3&gt;=Inputs!$B$30),E156,D156))</f>
        <v>0.01</v>
      </c>
      <c r="G156" s="20" t="str">
        <f aca="false">IF(AND(Inputs!$B$29="ARIDE cohort",ARIDE_Cohort!$B$3&gt;=Inputs!$B$30),IF(E156&gt;Inputs!$B$24,"ARIDE cohort","Floor (ARIDE share below floor)"),IF(D156&gt;Inputs!$B$24,"Indian literature",IF(D156&gt;0,"Floor (Indian share below floor)","Floor (no Indian data)")))</f>
        <v>Floor (no Indian data)</v>
      </c>
      <c r="H156" s="23" t="n">
        <f aca="false">IF(B156="AR",Inputs!$B$14,IF(B156="AD",Inputs!$B$15,Inputs!$B$16))</f>
        <v>1</v>
      </c>
      <c r="I156" s="12"/>
      <c r="J156" s="24" t="n">
        <f aca="false">IF(I156="",H156,I156)</f>
        <v>1</v>
      </c>
      <c r="K156" s="12"/>
      <c r="L156" s="24" t="n">
        <f aca="false">IF(K156="",Inputs!$B$20,K156)</f>
        <v>0.5</v>
      </c>
      <c r="M156" s="25" t="n">
        <f aca="false">IF(B156="AR",SQRT(Inputs!$B$9*F156/J156),IF(B156="AD",Inputs!$B$9*F156/(2*J156),2*Inputs!$B$9*F156/J156))</f>
        <v>0.00470090743184764</v>
      </c>
      <c r="N156" s="25" t="n">
        <f aca="false">IF(B156="AR",IF(Inputs!$B$25=0,SQRT(Inputs!$B$8*F156/J156),(-Inputs!$B$25+SQRT(Inputs!$B$25^2+4*(1-Inputs!$B$25)*Inputs!$B$8*F156/J156))/(2*(1-Inputs!$B$25))),IF(B156="AD",Inputs!$B$8*F156/(2*J156),2*Inputs!$B$8*F156/J156))</f>
        <v>0.00416319359719033</v>
      </c>
      <c r="O156" s="25" t="n">
        <f aca="false">MIN(Inputs!$B$26,M156*L156)</f>
        <v>0.00235045371592382</v>
      </c>
      <c r="P156" s="25" t="n">
        <f aca="false">MIN(Inputs!$B$26,O156*Inputs!$B$19)</f>
        <v>0.0235045371592382</v>
      </c>
      <c r="Q156" s="25" t="n">
        <f aca="false">MIN(O156,N156*Inputs!$B$21)</f>
        <v>0.000208159679859516</v>
      </c>
      <c r="R156" s="26"/>
      <c r="S156" s="26"/>
      <c r="T156" s="26"/>
      <c r="U156" s="20" t="str">
        <f aca="false">IF(COUNT(R156:T156)&gt;0,"Published spec (+calc where blank)","Calculated (this workbook)")</f>
        <v>Calculated (this workbook)</v>
      </c>
      <c r="V156" s="28" t="n">
        <f aca="false">IF(R156="",MAX(P156,W156),R156)</f>
        <v>0.0235045371592382</v>
      </c>
      <c r="W156" s="28" t="n">
        <f aca="false">IF(S156="",O156,S156)</f>
        <v>0.00235045371592382</v>
      </c>
      <c r="X156" s="28" t="n">
        <f aca="false">IF(T156="",Q156,T156)</f>
        <v>0.000208159679859516</v>
      </c>
      <c r="Y156" s="20" t="str">
        <f aca="false">IF(S156="","",IF(O156&lt;S156,"Calc STRICTER (lower)","Calc more lenient (higher)"))</f>
        <v/>
      </c>
      <c r="Z156" s="20" t="str">
        <f aca="false">IF(B156="XL","Hemizygous male AF (grpmax)","grpmax FAF95; check SAS, IndiGen, GenomeIndia")</f>
        <v>grpmax FAF95; check SAS, IndiGen, GenomeIndia</v>
      </c>
      <c r="AA156" s="20"/>
      <c r="AB156" s="20"/>
    </row>
    <row r="157" customFormat="false" ht="15" hidden="false" customHeight="false" outlineLevel="0" collapsed="false">
      <c r="A157" s="19" t="s">
        <v>310</v>
      </c>
      <c r="B157" s="20" t="s">
        <v>96</v>
      </c>
      <c r="C157" s="20" t="s">
        <v>105</v>
      </c>
      <c r="D157" s="21" t="n">
        <f aca="false">SUMIF(Indian_Gene_Shares!$B$5:$B$47,A157,Indian_Gene_Shares!$G$5:$G$47)</f>
        <v>0</v>
      </c>
      <c r="E157" s="9" t="n">
        <f aca="false">IFERROR(INDEX(ARIDE_Cohort!$C$6:$C$207,MATCH(A157,ARIDE_Cohort!$A$6:$A$207,0)),0)</f>
        <v>0</v>
      </c>
      <c r="F157" s="22" t="n">
        <f aca="false">MAX(Inputs!$B$24,IF(AND(Inputs!$B$29="ARIDE cohort",ARIDE_Cohort!$B$3&gt;=Inputs!$B$30),E157,D157))</f>
        <v>0.01</v>
      </c>
      <c r="G157" s="20" t="str">
        <f aca="false">IF(AND(Inputs!$B$29="ARIDE cohort",ARIDE_Cohort!$B$3&gt;=Inputs!$B$30),IF(E157&gt;Inputs!$B$24,"ARIDE cohort","Floor (ARIDE share below floor)"),IF(D157&gt;Inputs!$B$24,"Indian literature",IF(D157&gt;0,"Floor (Indian share below floor)","Floor (no Indian data)")))</f>
        <v>Floor (no Indian data)</v>
      </c>
      <c r="H157" s="23" t="n">
        <f aca="false">IF(B157="AR",Inputs!$B$14,IF(B157="AD",Inputs!$B$15,Inputs!$B$16))</f>
        <v>1</v>
      </c>
      <c r="I157" s="12"/>
      <c r="J157" s="24" t="n">
        <f aca="false">IF(I157="",H157,I157)</f>
        <v>1</v>
      </c>
      <c r="K157" s="12"/>
      <c r="L157" s="24" t="n">
        <f aca="false">IF(K157="",Inputs!$B$20,K157)</f>
        <v>0.5</v>
      </c>
      <c r="M157" s="25" t="n">
        <f aca="false">IF(B157="AR",SQRT(Inputs!$B$9*F157/J157),IF(B157="AD",Inputs!$B$9*F157/(2*J157),2*Inputs!$B$9*F157/J157))</f>
        <v>0.00470090743184764</v>
      </c>
      <c r="N157" s="25" t="n">
        <f aca="false">IF(B157="AR",IF(Inputs!$B$25=0,SQRT(Inputs!$B$8*F157/J157),(-Inputs!$B$25+SQRT(Inputs!$B$25^2+4*(1-Inputs!$B$25)*Inputs!$B$8*F157/J157))/(2*(1-Inputs!$B$25))),IF(B157="AD",Inputs!$B$8*F157/(2*J157),2*Inputs!$B$8*F157/J157))</f>
        <v>0.00416319359719033</v>
      </c>
      <c r="O157" s="25" t="n">
        <f aca="false">MIN(Inputs!$B$26,M157*L157)</f>
        <v>0.00235045371592382</v>
      </c>
      <c r="P157" s="25" t="n">
        <f aca="false">MIN(Inputs!$B$26,O157*Inputs!$B$19)</f>
        <v>0.0235045371592382</v>
      </c>
      <c r="Q157" s="25" t="n">
        <f aca="false">MIN(O157,N157*Inputs!$B$21)</f>
        <v>0.000208159679859516</v>
      </c>
      <c r="R157" s="26"/>
      <c r="S157" s="26"/>
      <c r="T157" s="26"/>
      <c r="U157" s="20" t="str">
        <f aca="false">IF(COUNT(R157:T157)&gt;0,"Published spec (+calc where blank)","Calculated (this workbook)")</f>
        <v>Calculated (this workbook)</v>
      </c>
      <c r="V157" s="28" t="n">
        <f aca="false">IF(R157="",MAX(P157,W157),R157)</f>
        <v>0.0235045371592382</v>
      </c>
      <c r="W157" s="28" t="n">
        <f aca="false">IF(S157="",O157,S157)</f>
        <v>0.00235045371592382</v>
      </c>
      <c r="X157" s="28" t="n">
        <f aca="false">IF(T157="",Q157,T157)</f>
        <v>0.000208159679859516</v>
      </c>
      <c r="Y157" s="20" t="str">
        <f aca="false">IF(S157="","",IF(O157&lt;S157,"Calc STRICTER (lower)","Calc more lenient (higher)"))</f>
        <v/>
      </c>
      <c r="Z157" s="20" t="str">
        <f aca="false">IF(B157="XL","Hemizygous male AF (grpmax)","grpmax FAF95; check SAS, IndiGen, GenomeIndia")</f>
        <v>grpmax FAF95; check SAS, IndiGen, GenomeIndia</v>
      </c>
      <c r="AA157" s="20"/>
      <c r="AB157" s="20"/>
    </row>
    <row r="158" customFormat="false" ht="15" hidden="false" customHeight="false" outlineLevel="0" collapsed="false">
      <c r="A158" s="19" t="s">
        <v>311</v>
      </c>
      <c r="B158" s="20" t="s">
        <v>96</v>
      </c>
      <c r="C158" s="20" t="s">
        <v>105</v>
      </c>
      <c r="D158" s="21" t="n">
        <f aca="false">SUMIF(Indian_Gene_Shares!$B$5:$B$47,A158,Indian_Gene_Shares!$G$5:$G$47)</f>
        <v>0</v>
      </c>
      <c r="E158" s="9" t="n">
        <f aca="false">IFERROR(INDEX(ARIDE_Cohort!$C$6:$C$207,MATCH(A158,ARIDE_Cohort!$A$6:$A$207,0)),0)</f>
        <v>0</v>
      </c>
      <c r="F158" s="22" t="n">
        <f aca="false">MAX(Inputs!$B$24,IF(AND(Inputs!$B$29="ARIDE cohort",ARIDE_Cohort!$B$3&gt;=Inputs!$B$30),E158,D158))</f>
        <v>0.01</v>
      </c>
      <c r="G158" s="20" t="str">
        <f aca="false">IF(AND(Inputs!$B$29="ARIDE cohort",ARIDE_Cohort!$B$3&gt;=Inputs!$B$30),IF(E158&gt;Inputs!$B$24,"ARIDE cohort","Floor (ARIDE share below floor)"),IF(D158&gt;Inputs!$B$24,"Indian literature",IF(D158&gt;0,"Floor (Indian share below floor)","Floor (no Indian data)")))</f>
        <v>Floor (no Indian data)</v>
      </c>
      <c r="H158" s="23" t="n">
        <f aca="false">IF(B158="AR",Inputs!$B$14,IF(B158="AD",Inputs!$B$15,Inputs!$B$16))</f>
        <v>1</v>
      </c>
      <c r="I158" s="12"/>
      <c r="J158" s="24" t="n">
        <f aca="false">IF(I158="",H158,I158)</f>
        <v>1</v>
      </c>
      <c r="K158" s="12"/>
      <c r="L158" s="24" t="n">
        <f aca="false">IF(K158="",Inputs!$B$20,K158)</f>
        <v>0.5</v>
      </c>
      <c r="M158" s="25" t="n">
        <f aca="false">IF(B158="AR",SQRT(Inputs!$B$9*F158/J158),IF(B158="AD",Inputs!$B$9*F158/(2*J158),2*Inputs!$B$9*F158/J158))</f>
        <v>0.00470090743184764</v>
      </c>
      <c r="N158" s="25" t="n">
        <f aca="false">IF(B158="AR",IF(Inputs!$B$25=0,SQRT(Inputs!$B$8*F158/J158),(-Inputs!$B$25+SQRT(Inputs!$B$25^2+4*(1-Inputs!$B$25)*Inputs!$B$8*F158/J158))/(2*(1-Inputs!$B$25))),IF(B158="AD",Inputs!$B$8*F158/(2*J158),2*Inputs!$B$8*F158/J158))</f>
        <v>0.00416319359719033</v>
      </c>
      <c r="O158" s="25" t="n">
        <f aca="false">MIN(Inputs!$B$26,M158*L158)</f>
        <v>0.00235045371592382</v>
      </c>
      <c r="P158" s="25" t="n">
        <f aca="false">MIN(Inputs!$B$26,O158*Inputs!$B$19)</f>
        <v>0.0235045371592382</v>
      </c>
      <c r="Q158" s="25" t="n">
        <f aca="false">MIN(O158,N158*Inputs!$B$21)</f>
        <v>0.000208159679859516</v>
      </c>
      <c r="R158" s="26"/>
      <c r="S158" s="26"/>
      <c r="T158" s="26"/>
      <c r="U158" s="20" t="str">
        <f aca="false">IF(COUNT(R158:T158)&gt;0,"Published spec (+calc where blank)","Calculated (this workbook)")</f>
        <v>Calculated (this workbook)</v>
      </c>
      <c r="V158" s="28" t="n">
        <f aca="false">IF(R158="",MAX(P158,W158),R158)</f>
        <v>0.0235045371592382</v>
      </c>
      <c r="W158" s="28" t="n">
        <f aca="false">IF(S158="",O158,S158)</f>
        <v>0.00235045371592382</v>
      </c>
      <c r="X158" s="28" t="n">
        <f aca="false">IF(T158="",Q158,T158)</f>
        <v>0.000208159679859516</v>
      </c>
      <c r="Y158" s="20" t="str">
        <f aca="false">IF(S158="","",IF(O158&lt;S158,"Calc STRICTER (lower)","Calc more lenient (higher)"))</f>
        <v/>
      </c>
      <c r="Z158" s="20" t="str">
        <f aca="false">IF(B158="XL","Hemizygous male AF (grpmax)","grpmax FAF95; check SAS, IndiGen, GenomeIndia")</f>
        <v>grpmax FAF95; check SAS, IndiGen, GenomeIndia</v>
      </c>
      <c r="AA158" s="20"/>
      <c r="AB158" s="20"/>
    </row>
    <row r="159" customFormat="false" ht="15" hidden="false" customHeight="false" outlineLevel="0" collapsed="false">
      <c r="A159" s="19" t="s">
        <v>312</v>
      </c>
      <c r="B159" s="20" t="s">
        <v>109</v>
      </c>
      <c r="C159" s="20" t="s">
        <v>313</v>
      </c>
      <c r="D159" s="21" t="n">
        <f aca="false">SUMIF(Indian_Gene_Shares!$B$5:$B$47,A159,Indian_Gene_Shares!$G$5:$G$47)</f>
        <v>0</v>
      </c>
      <c r="E159" s="9" t="n">
        <f aca="false">IFERROR(INDEX(ARIDE_Cohort!$C$6:$C$207,MATCH(A159,ARIDE_Cohort!$A$6:$A$207,0)),0)</f>
        <v>0</v>
      </c>
      <c r="F159" s="22" t="n">
        <f aca="false">MAX(Inputs!$B$24,IF(AND(Inputs!$B$29="ARIDE cohort",ARIDE_Cohort!$B$3&gt;=Inputs!$B$30),E159,D159))</f>
        <v>0.01</v>
      </c>
      <c r="G159" s="20" t="str">
        <f aca="false">IF(AND(Inputs!$B$29="ARIDE cohort",ARIDE_Cohort!$B$3&gt;=Inputs!$B$30),IF(E159&gt;Inputs!$B$24,"ARIDE cohort","Floor (ARIDE share below floor)"),IF(D159&gt;Inputs!$B$24,"Indian literature",IF(D159&gt;0,"Floor (Indian share below floor)","Floor (no Indian data)")))</f>
        <v>Floor (no Indian data)</v>
      </c>
      <c r="H159" s="23" t="n">
        <f aca="false">IF(B159="AR",Inputs!$B$14,IF(B159="AD",Inputs!$B$15,Inputs!$B$16))</f>
        <v>0.5</v>
      </c>
      <c r="I159" s="12"/>
      <c r="J159" s="24" t="n">
        <f aca="false">IF(I159="",H159,I159)</f>
        <v>0.5</v>
      </c>
      <c r="K159" s="12"/>
      <c r="L159" s="24" t="n">
        <f aca="false">IF(K159="",Inputs!$B$20,K159)</f>
        <v>0.5</v>
      </c>
      <c r="M159" s="25" t="n">
        <f aca="false">IF(B159="AR",SQRT(Inputs!$B$9*F159/J159),IF(B159="AD",Inputs!$B$9*F159/(2*J159),2*Inputs!$B$9*F159/J159))</f>
        <v>2.20985306828003E-005</v>
      </c>
      <c r="N159" s="25" t="n">
        <f aca="false">IF(B159="AR",IF(Inputs!$B$25=0,SQRT(Inputs!$B$8*F159/J159),(-Inputs!$B$25+SQRT(Inputs!$B$25^2+4*(1-Inputs!$B$25)*Inputs!$B$8*F159/J159))/(2*(1-Inputs!$B$25))),IF(B159="AD",Inputs!$B$8*F159/(2*J159),2*Inputs!$B$8*F159/J159))</f>
        <v>1.73321809276865E-005</v>
      </c>
      <c r="O159" s="25" t="n">
        <f aca="false">MIN(Inputs!$B$26,M159*L159)</f>
        <v>1.10492653414002E-005</v>
      </c>
      <c r="P159" s="25" t="n">
        <f aca="false">MIN(Inputs!$B$26,O159*Inputs!$B$19)</f>
        <v>0.000110492653414002</v>
      </c>
      <c r="Q159" s="25" t="n">
        <f aca="false">MIN(O159,N159*Inputs!$B$21)</f>
        <v>8.66609046384327E-007</v>
      </c>
      <c r="R159" s="26"/>
      <c r="S159" s="26"/>
      <c r="T159" s="26"/>
      <c r="U159" s="20" t="str">
        <f aca="false">IF(COUNT(R159:T159)&gt;0,"Published spec (+calc where blank)","Calculated (this workbook)")</f>
        <v>Calculated (this workbook)</v>
      </c>
      <c r="V159" s="28" t="n">
        <f aca="false">IF(R159="",MAX(P159,W159),R159)</f>
        <v>0.000110492653414002</v>
      </c>
      <c r="W159" s="28" t="n">
        <f aca="false">IF(S159="",O159,S159)</f>
        <v>1.10492653414002E-005</v>
      </c>
      <c r="X159" s="28" t="n">
        <f aca="false">IF(T159="",Q159,T159)</f>
        <v>8.66609046384327E-007</v>
      </c>
      <c r="Y159" s="20" t="str">
        <f aca="false">IF(S159="","",IF(O159&lt;S159,"Calc STRICTER (lower)","Calc more lenient (higher)"))</f>
        <v/>
      </c>
      <c r="Z159" s="20" t="str">
        <f aca="false">IF(B159="XL","Hemizygous male AF (grpmax)","grpmax FAF95; check SAS, IndiGen, GenomeIndia")</f>
        <v>grpmax FAF95; check SAS, IndiGen, GenomeIndia</v>
      </c>
      <c r="AA159" s="20"/>
      <c r="AB159" s="20"/>
    </row>
    <row r="160" customFormat="false" ht="15" hidden="false" customHeight="false" outlineLevel="0" collapsed="false">
      <c r="A160" s="19" t="s">
        <v>314</v>
      </c>
      <c r="B160" s="20" t="s">
        <v>96</v>
      </c>
      <c r="C160" s="20" t="s">
        <v>170</v>
      </c>
      <c r="D160" s="21" t="n">
        <f aca="false">SUMIF(Indian_Gene_Shares!$B$5:$B$47,A160,Indian_Gene_Shares!$G$5:$G$47)</f>
        <v>0.0402717752659574</v>
      </c>
      <c r="E160" s="9" t="n">
        <f aca="false">IFERROR(INDEX(ARIDE_Cohort!$C$6:$C$207,MATCH(A160,ARIDE_Cohort!$A$6:$A$207,0)),0)</f>
        <v>0</v>
      </c>
      <c r="F160" s="22" t="n">
        <f aca="false">MAX(Inputs!$B$24,IF(AND(Inputs!$B$29="ARIDE cohort",ARIDE_Cohort!$B$3&gt;=Inputs!$B$30),E160,D160))</f>
        <v>0.0402717752659574</v>
      </c>
      <c r="G160" s="20" t="str">
        <f aca="false">IF(AND(Inputs!$B$29="ARIDE cohort",ARIDE_Cohort!$B$3&gt;=Inputs!$B$30),IF(E160&gt;Inputs!$B$24,"ARIDE cohort","Floor (ARIDE share below floor)"),IF(D160&gt;Inputs!$B$24,"Indian literature",IF(D160&gt;0,"Floor (Indian share below floor)","Floor (no Indian data)")))</f>
        <v>Indian literature</v>
      </c>
      <c r="H160" s="23" t="n">
        <f aca="false">IF(B160="AR",Inputs!$B$14,IF(B160="AD",Inputs!$B$15,Inputs!$B$16))</f>
        <v>1</v>
      </c>
      <c r="I160" s="12"/>
      <c r="J160" s="24" t="n">
        <f aca="false">IF(I160="",H160,I160)</f>
        <v>1</v>
      </c>
      <c r="K160" s="12"/>
      <c r="L160" s="24" t="n">
        <f aca="false">IF(K160="",Inputs!$B$20,K160)</f>
        <v>0.5</v>
      </c>
      <c r="M160" s="25" t="n">
        <f aca="false">IF(B160="AR",SQRT(Inputs!$B$9*F160/J160),IF(B160="AD",Inputs!$B$9*F160/(2*J160),2*Inputs!$B$9*F160/J160))</f>
        <v>0.00943370055368306</v>
      </c>
      <c r="N160" s="25" t="n">
        <f aca="false">IF(B160="AR",IF(Inputs!$B$25=0,SQRT(Inputs!$B$8*F160/J160),(-Inputs!$B$25+SQRT(Inputs!$B$25^2+4*(1-Inputs!$B$25)*Inputs!$B$8*F160/J160))/(2*(1-Inputs!$B$25))),IF(B160="AD",Inputs!$B$8*F160/(2*J160),2*Inputs!$B$8*F160/J160))</f>
        <v>0.00835462563606956</v>
      </c>
      <c r="O160" s="25" t="n">
        <f aca="false">MIN(Inputs!$B$26,M160*L160)</f>
        <v>0.00471685027684153</v>
      </c>
      <c r="P160" s="25" t="n">
        <f aca="false">MIN(Inputs!$B$26,O160*Inputs!$B$19)</f>
        <v>0.0471685027684153</v>
      </c>
      <c r="Q160" s="25" t="n">
        <f aca="false">MIN(O160,N160*Inputs!$B$21)</f>
        <v>0.000417731281803478</v>
      </c>
      <c r="R160" s="26"/>
      <c r="S160" s="26"/>
      <c r="T160" s="26"/>
      <c r="U160" s="20" t="str">
        <f aca="false">IF(COUNT(R160:T160)&gt;0,"Published spec (+calc where blank)","Calculated (this workbook)")</f>
        <v>Calculated (this workbook)</v>
      </c>
      <c r="V160" s="28" t="n">
        <f aca="false">IF(R160="",MAX(P160,W160),R160)</f>
        <v>0.0471685027684153</v>
      </c>
      <c r="W160" s="28" t="n">
        <f aca="false">IF(S160="",O160,S160)</f>
        <v>0.00471685027684153</v>
      </c>
      <c r="X160" s="28" t="n">
        <f aca="false">IF(T160="",Q160,T160)</f>
        <v>0.000417731281803478</v>
      </c>
      <c r="Y160" s="20" t="str">
        <f aca="false">IF(S160="","",IF(O160&lt;S160,"Calc STRICTER (lower)","Calc more lenient (higher)"))</f>
        <v/>
      </c>
      <c r="Z160" s="20" t="str">
        <f aca="false">IF(B160="XL","Hemizygous male AF (grpmax)","grpmax FAF95; check SAS, IndiGen, GenomeIndia")</f>
        <v>grpmax FAF95; check SAS, IndiGen, GenomeIndia</v>
      </c>
      <c r="AA160" s="20"/>
      <c r="AB160" s="20"/>
    </row>
    <row r="161" customFormat="false" ht="15" hidden="false" customHeight="false" outlineLevel="0" collapsed="false">
      <c r="A161" s="19" t="s">
        <v>314</v>
      </c>
      <c r="B161" s="20" t="s">
        <v>109</v>
      </c>
      <c r="C161" s="20" t="s">
        <v>315</v>
      </c>
      <c r="D161" s="21" t="n">
        <f aca="false">SUMIF(Indian_Gene_Shares!$B$5:$B$47,A161,Indian_Gene_Shares!$G$5:$G$47)</f>
        <v>0.0402717752659574</v>
      </c>
      <c r="E161" s="9" t="n">
        <f aca="false">IFERROR(INDEX(ARIDE_Cohort!$C$6:$C$207,MATCH(A161,ARIDE_Cohort!$A$6:$A$207,0)),0)</f>
        <v>0</v>
      </c>
      <c r="F161" s="22" t="n">
        <f aca="false">MAX(Inputs!$B$24,IF(AND(Inputs!$B$29="ARIDE cohort",ARIDE_Cohort!$B$3&gt;=Inputs!$B$30),E161,D161))</f>
        <v>0.0402717752659574</v>
      </c>
      <c r="G161" s="20" t="str">
        <f aca="false">IF(AND(Inputs!$B$29="ARIDE cohort",ARIDE_Cohort!$B$3&gt;=Inputs!$B$30),IF(E161&gt;Inputs!$B$24,"ARIDE cohort","Floor (ARIDE share below floor)"),IF(D161&gt;Inputs!$B$24,"Indian literature",IF(D161&gt;0,"Floor (Indian share below floor)","Floor (no Indian data)")))</f>
        <v>Indian literature</v>
      </c>
      <c r="H161" s="23" t="n">
        <f aca="false">IF(B161="AR",Inputs!$B$14,IF(B161="AD",Inputs!$B$15,Inputs!$B$16))</f>
        <v>0.5</v>
      </c>
      <c r="I161" s="12"/>
      <c r="J161" s="24" t="n">
        <f aca="false">IF(I161="",H161,I161)</f>
        <v>0.5</v>
      </c>
      <c r="K161" s="12"/>
      <c r="L161" s="24" t="n">
        <f aca="false">IF(K161="",Inputs!$B$20,K161)</f>
        <v>0.5</v>
      </c>
      <c r="M161" s="25" t="n">
        <f aca="false">IF(B161="AR",SQRT(Inputs!$B$9*F161/J161),IF(B161="AD",Inputs!$B$9*F161/(2*J161),2*Inputs!$B$9*F161/J161))</f>
        <v>8.89947061365601E-005</v>
      </c>
      <c r="N161" s="25" t="n">
        <f aca="false">IF(B161="AR",IF(Inputs!$B$25=0,SQRT(Inputs!$B$8*F161/J161),(-Inputs!$B$25+SQRT(Inputs!$B$25^2+4*(1-Inputs!$B$25)*Inputs!$B$8*F161/J161))/(2*(1-Inputs!$B$25))),IF(B161="AD",Inputs!$B$8*F161/(2*J161),2*Inputs!$B$8*F161/J161))</f>
        <v>6.97997695188707E-005</v>
      </c>
      <c r="O161" s="25" t="n">
        <f aca="false">MIN(Inputs!$B$26,M161*L161)</f>
        <v>4.449735306828E-005</v>
      </c>
      <c r="P161" s="25" t="n">
        <f aca="false">MIN(Inputs!$B$26,O161*Inputs!$B$19)</f>
        <v>0.0004449735306828</v>
      </c>
      <c r="Q161" s="25" t="n">
        <f aca="false">MIN(O161,N161*Inputs!$B$21)</f>
        <v>3.48998847594353E-006</v>
      </c>
      <c r="R161" s="26"/>
      <c r="S161" s="26"/>
      <c r="T161" s="26"/>
      <c r="U161" s="20" t="str">
        <f aca="false">IF(COUNT(R161:T161)&gt;0,"Published spec (+calc where blank)","Calculated (this workbook)")</f>
        <v>Calculated (this workbook)</v>
      </c>
      <c r="V161" s="28" t="n">
        <f aca="false">IF(R161="",MAX(P161,W161),R161)</f>
        <v>0.0004449735306828</v>
      </c>
      <c r="W161" s="28" t="n">
        <f aca="false">IF(S161="",O161,S161)</f>
        <v>4.449735306828E-005</v>
      </c>
      <c r="X161" s="28" t="n">
        <f aca="false">IF(T161="",Q161,T161)</f>
        <v>3.48998847594353E-006</v>
      </c>
      <c r="Y161" s="20" t="str">
        <f aca="false">IF(S161="","",IF(O161&lt;S161,"Calc STRICTER (lower)","Calc more lenient (higher)"))</f>
        <v/>
      </c>
      <c r="Z161" s="20" t="str">
        <f aca="false">IF(B161="XL","Hemizygous male AF (grpmax)","grpmax FAF95; check SAS, IndiGen, GenomeIndia")</f>
        <v>grpmax FAF95; check SAS, IndiGen, GenomeIndia</v>
      </c>
      <c r="AA161" s="20"/>
      <c r="AB161" s="20"/>
    </row>
    <row r="162" customFormat="false" ht="15" hidden="false" customHeight="false" outlineLevel="0" collapsed="false">
      <c r="A162" s="19" t="s">
        <v>316</v>
      </c>
      <c r="B162" s="20" t="s">
        <v>109</v>
      </c>
      <c r="C162" s="20" t="s">
        <v>105</v>
      </c>
      <c r="D162" s="21" t="n">
        <f aca="false">SUMIF(Indian_Gene_Shares!$B$5:$B$47,A162,Indian_Gene_Shares!$G$5:$G$47)</f>
        <v>0</v>
      </c>
      <c r="E162" s="9" t="n">
        <f aca="false">IFERROR(INDEX(ARIDE_Cohort!$C$6:$C$207,MATCH(A162,ARIDE_Cohort!$A$6:$A$207,0)),0)</f>
        <v>0</v>
      </c>
      <c r="F162" s="22" t="n">
        <f aca="false">MAX(Inputs!$B$24,IF(AND(Inputs!$B$29="ARIDE cohort",ARIDE_Cohort!$B$3&gt;=Inputs!$B$30),E162,D162))</f>
        <v>0.01</v>
      </c>
      <c r="G162" s="20" t="str">
        <f aca="false">IF(AND(Inputs!$B$29="ARIDE cohort",ARIDE_Cohort!$B$3&gt;=Inputs!$B$30),IF(E162&gt;Inputs!$B$24,"ARIDE cohort","Floor (ARIDE share below floor)"),IF(D162&gt;Inputs!$B$24,"Indian literature",IF(D162&gt;0,"Floor (Indian share below floor)","Floor (no Indian data)")))</f>
        <v>Floor (no Indian data)</v>
      </c>
      <c r="H162" s="23" t="n">
        <f aca="false">IF(B162="AR",Inputs!$B$14,IF(B162="AD",Inputs!$B$15,Inputs!$B$16))</f>
        <v>0.5</v>
      </c>
      <c r="I162" s="12"/>
      <c r="J162" s="24" t="n">
        <f aca="false">IF(I162="",H162,I162)</f>
        <v>0.5</v>
      </c>
      <c r="K162" s="12"/>
      <c r="L162" s="24" t="n">
        <f aca="false">IF(K162="",Inputs!$B$20,K162)</f>
        <v>0.5</v>
      </c>
      <c r="M162" s="25" t="n">
        <f aca="false">IF(B162="AR",SQRT(Inputs!$B$9*F162/J162),IF(B162="AD",Inputs!$B$9*F162/(2*J162),2*Inputs!$B$9*F162/J162))</f>
        <v>2.20985306828003E-005</v>
      </c>
      <c r="N162" s="25" t="n">
        <f aca="false">IF(B162="AR",IF(Inputs!$B$25=0,SQRT(Inputs!$B$8*F162/J162),(-Inputs!$B$25+SQRT(Inputs!$B$25^2+4*(1-Inputs!$B$25)*Inputs!$B$8*F162/J162))/(2*(1-Inputs!$B$25))),IF(B162="AD",Inputs!$B$8*F162/(2*J162),2*Inputs!$B$8*F162/J162))</f>
        <v>1.73321809276865E-005</v>
      </c>
      <c r="O162" s="25" t="n">
        <f aca="false">MIN(Inputs!$B$26,M162*L162)</f>
        <v>1.10492653414002E-005</v>
      </c>
      <c r="P162" s="25" t="n">
        <f aca="false">MIN(Inputs!$B$26,O162*Inputs!$B$19)</f>
        <v>0.000110492653414002</v>
      </c>
      <c r="Q162" s="25" t="n">
        <f aca="false">MIN(O162,N162*Inputs!$B$21)</f>
        <v>8.66609046384327E-007</v>
      </c>
      <c r="R162" s="26"/>
      <c r="S162" s="26"/>
      <c r="T162" s="26"/>
      <c r="U162" s="20" t="str">
        <f aca="false">IF(COUNT(R162:T162)&gt;0,"Published spec (+calc where blank)","Calculated (this workbook)")</f>
        <v>Calculated (this workbook)</v>
      </c>
      <c r="V162" s="28" t="n">
        <f aca="false">IF(R162="",MAX(P162,W162),R162)</f>
        <v>0.000110492653414002</v>
      </c>
      <c r="W162" s="28" t="n">
        <f aca="false">IF(S162="",O162,S162)</f>
        <v>1.10492653414002E-005</v>
      </c>
      <c r="X162" s="28" t="n">
        <f aca="false">IF(T162="",Q162,T162)</f>
        <v>8.66609046384327E-007</v>
      </c>
      <c r="Y162" s="20" t="str">
        <f aca="false">IF(S162="","",IF(O162&lt;S162,"Calc STRICTER (lower)","Calc more lenient (higher)"))</f>
        <v/>
      </c>
      <c r="Z162" s="20" t="str">
        <f aca="false">IF(B162="XL","Hemizygous male AF (grpmax)","grpmax FAF95; check SAS, IndiGen, GenomeIndia")</f>
        <v>grpmax FAF95; check SAS, IndiGen, GenomeIndia</v>
      </c>
      <c r="AA162" s="20"/>
      <c r="AB162" s="20"/>
    </row>
    <row r="163" customFormat="false" ht="15" hidden="false" customHeight="false" outlineLevel="0" collapsed="false">
      <c r="A163" s="19" t="s">
        <v>317</v>
      </c>
      <c r="B163" s="20" t="s">
        <v>109</v>
      </c>
      <c r="C163" s="20" t="s">
        <v>105</v>
      </c>
      <c r="D163" s="21" t="n">
        <f aca="false">SUMIF(Indian_Gene_Shares!$B$5:$B$47,A163,Indian_Gene_Shares!$G$5:$G$47)</f>
        <v>0.0269248670212766</v>
      </c>
      <c r="E163" s="9" t="n">
        <f aca="false">IFERROR(INDEX(ARIDE_Cohort!$C$6:$C$207,MATCH(A163,ARIDE_Cohort!$A$6:$A$207,0)),0)</f>
        <v>0</v>
      </c>
      <c r="F163" s="22" t="n">
        <f aca="false">MAX(Inputs!$B$24,IF(AND(Inputs!$B$29="ARIDE cohort",ARIDE_Cohort!$B$3&gt;=Inputs!$B$30),E163,D163))</f>
        <v>0.0269248670212766</v>
      </c>
      <c r="G163" s="20" t="str">
        <f aca="false">IF(AND(Inputs!$B$29="ARIDE cohort",ARIDE_Cohort!$B$3&gt;=Inputs!$B$30),IF(E163&gt;Inputs!$B$24,"ARIDE cohort","Floor (ARIDE share below floor)"),IF(D163&gt;Inputs!$B$24,"Indian literature",IF(D163&gt;0,"Floor (Indian share below floor)","Floor (no Indian data)")))</f>
        <v>Indian literature</v>
      </c>
      <c r="H163" s="23" t="n">
        <f aca="false">IF(B163="AR",Inputs!$B$14,IF(B163="AD",Inputs!$B$15,Inputs!$B$16))</f>
        <v>0.5</v>
      </c>
      <c r="I163" s="12"/>
      <c r="J163" s="24" t="n">
        <f aca="false">IF(I163="",H163,I163)</f>
        <v>0.5</v>
      </c>
      <c r="K163" s="12"/>
      <c r="L163" s="24" t="n">
        <f aca="false">IF(K163="",Inputs!$B$20,K163)</f>
        <v>0.5</v>
      </c>
      <c r="M163" s="25" t="n">
        <f aca="false">IF(B163="AR",SQRT(Inputs!$B$9*F163/J163),IF(B163="AD",Inputs!$B$9*F163/(2*J163),2*Inputs!$B$9*F163/J163))</f>
        <v>5.95E-005</v>
      </c>
      <c r="N163" s="25" t="n">
        <f aca="false">IF(B163="AR",IF(Inputs!$B$25=0,SQRT(Inputs!$B$8*F163/J163),(-Inputs!$B$25+SQRT(Inputs!$B$25^2+4*(1-Inputs!$B$25)*Inputs!$B$8*F163/J163))/(2*(1-Inputs!$B$25))),IF(B163="AD",Inputs!$B$8*F163/(2*J163),2*Inputs!$B$8*F163/J163))</f>
        <v>4.66666666666667E-005</v>
      </c>
      <c r="O163" s="25" t="n">
        <f aca="false">MIN(Inputs!$B$26,M163*L163)</f>
        <v>2.975E-005</v>
      </c>
      <c r="P163" s="25" t="n">
        <f aca="false">MIN(Inputs!$B$26,O163*Inputs!$B$19)</f>
        <v>0.0002975</v>
      </c>
      <c r="Q163" s="25" t="n">
        <f aca="false">MIN(O163,N163*Inputs!$B$21)</f>
        <v>2.33333333333333E-006</v>
      </c>
      <c r="R163" s="26"/>
      <c r="S163" s="26"/>
      <c r="T163" s="26"/>
      <c r="U163" s="20" t="str">
        <f aca="false">IF(COUNT(R163:T163)&gt;0,"Published spec (+calc where blank)","Calculated (this workbook)")</f>
        <v>Calculated (this workbook)</v>
      </c>
      <c r="V163" s="28" t="n">
        <f aca="false">IF(R163="",MAX(P163,W163),R163)</f>
        <v>0.0002975</v>
      </c>
      <c r="W163" s="28" t="n">
        <f aca="false">IF(S163="",O163,S163)</f>
        <v>2.975E-005</v>
      </c>
      <c r="X163" s="28" t="n">
        <f aca="false">IF(T163="",Q163,T163)</f>
        <v>2.33333333333333E-006</v>
      </c>
      <c r="Y163" s="20" t="str">
        <f aca="false">IF(S163="","",IF(O163&lt;S163,"Calc STRICTER (lower)","Calc more lenient (higher)"))</f>
        <v/>
      </c>
      <c r="Z163" s="20" t="str">
        <f aca="false">IF(B163="XL","Hemizygous male AF (grpmax)","grpmax FAF95; check SAS, IndiGen, GenomeIndia")</f>
        <v>grpmax FAF95; check SAS, IndiGen, GenomeIndia</v>
      </c>
      <c r="AA163" s="20"/>
      <c r="AB163" s="20" t="s">
        <v>318</v>
      </c>
    </row>
    <row r="164" customFormat="false" ht="15" hidden="false" customHeight="false" outlineLevel="0" collapsed="false">
      <c r="A164" s="19" t="s">
        <v>319</v>
      </c>
      <c r="B164" s="20" t="s">
        <v>109</v>
      </c>
      <c r="C164" s="20" t="s">
        <v>105</v>
      </c>
      <c r="D164" s="21" t="n">
        <f aca="false">SUMIF(Indian_Gene_Shares!$B$5:$B$47,A164,Indian_Gene_Shares!$G$5:$G$47)</f>
        <v>0</v>
      </c>
      <c r="E164" s="9" t="n">
        <f aca="false">IFERROR(INDEX(ARIDE_Cohort!$C$6:$C$207,MATCH(A164,ARIDE_Cohort!$A$6:$A$207,0)),0)</f>
        <v>0</v>
      </c>
      <c r="F164" s="22" t="n">
        <f aca="false">MAX(Inputs!$B$24,IF(AND(Inputs!$B$29="ARIDE cohort",ARIDE_Cohort!$B$3&gt;=Inputs!$B$30),E164,D164))</f>
        <v>0.01</v>
      </c>
      <c r="G164" s="20" t="str">
        <f aca="false">IF(AND(Inputs!$B$29="ARIDE cohort",ARIDE_Cohort!$B$3&gt;=Inputs!$B$30),IF(E164&gt;Inputs!$B$24,"ARIDE cohort","Floor (ARIDE share below floor)"),IF(D164&gt;Inputs!$B$24,"Indian literature",IF(D164&gt;0,"Floor (Indian share below floor)","Floor (no Indian data)")))</f>
        <v>Floor (no Indian data)</v>
      </c>
      <c r="H164" s="23" t="n">
        <f aca="false">IF(B164="AR",Inputs!$B$14,IF(B164="AD",Inputs!$B$15,Inputs!$B$16))</f>
        <v>0.5</v>
      </c>
      <c r="I164" s="12"/>
      <c r="J164" s="24" t="n">
        <f aca="false">IF(I164="",H164,I164)</f>
        <v>0.5</v>
      </c>
      <c r="K164" s="12"/>
      <c r="L164" s="24" t="n">
        <f aca="false">IF(K164="",Inputs!$B$20,K164)</f>
        <v>0.5</v>
      </c>
      <c r="M164" s="25" t="n">
        <f aca="false">IF(B164="AR",SQRT(Inputs!$B$9*F164/J164),IF(B164="AD",Inputs!$B$9*F164/(2*J164),2*Inputs!$B$9*F164/J164))</f>
        <v>2.20985306828003E-005</v>
      </c>
      <c r="N164" s="25" t="n">
        <f aca="false">IF(B164="AR",IF(Inputs!$B$25=0,SQRT(Inputs!$B$8*F164/J164),(-Inputs!$B$25+SQRT(Inputs!$B$25^2+4*(1-Inputs!$B$25)*Inputs!$B$8*F164/J164))/(2*(1-Inputs!$B$25))),IF(B164="AD",Inputs!$B$8*F164/(2*J164),2*Inputs!$B$8*F164/J164))</f>
        <v>1.73321809276865E-005</v>
      </c>
      <c r="O164" s="25" t="n">
        <f aca="false">MIN(Inputs!$B$26,M164*L164)</f>
        <v>1.10492653414002E-005</v>
      </c>
      <c r="P164" s="25" t="n">
        <f aca="false">MIN(Inputs!$B$26,O164*Inputs!$B$19)</f>
        <v>0.000110492653414002</v>
      </c>
      <c r="Q164" s="25" t="n">
        <f aca="false">MIN(O164,N164*Inputs!$B$21)</f>
        <v>8.66609046384327E-007</v>
      </c>
      <c r="R164" s="26"/>
      <c r="S164" s="26"/>
      <c r="T164" s="26"/>
      <c r="U164" s="20" t="str">
        <f aca="false">IF(COUNT(R164:T164)&gt;0,"Published spec (+calc where blank)","Calculated (this workbook)")</f>
        <v>Calculated (this workbook)</v>
      </c>
      <c r="V164" s="28" t="n">
        <f aca="false">IF(R164="",MAX(P164,W164),R164)</f>
        <v>0.000110492653414002</v>
      </c>
      <c r="W164" s="28" t="n">
        <f aca="false">IF(S164="",O164,S164)</f>
        <v>1.10492653414002E-005</v>
      </c>
      <c r="X164" s="28" t="n">
        <f aca="false">IF(T164="",Q164,T164)</f>
        <v>8.66609046384327E-007</v>
      </c>
      <c r="Y164" s="20" t="str">
        <f aca="false">IF(S164="","",IF(O164&lt;S164,"Calc STRICTER (lower)","Calc more lenient (higher)"))</f>
        <v/>
      </c>
      <c r="Z164" s="20" t="str">
        <f aca="false">IF(B164="XL","Hemizygous male AF (grpmax)","grpmax FAF95; check SAS, IndiGen, GenomeIndia")</f>
        <v>grpmax FAF95; check SAS, IndiGen, GenomeIndia</v>
      </c>
      <c r="AA164" s="20"/>
      <c r="AB164" s="20"/>
    </row>
    <row r="165" customFormat="false" ht="15" hidden="false" customHeight="false" outlineLevel="0" collapsed="false">
      <c r="A165" s="19" t="s">
        <v>320</v>
      </c>
      <c r="B165" s="20" t="s">
        <v>109</v>
      </c>
      <c r="C165" s="20" t="s">
        <v>105</v>
      </c>
      <c r="D165" s="21" t="n">
        <f aca="false">SUMIF(Indian_Gene_Shares!$B$5:$B$47,A165,Indian_Gene_Shares!$G$5:$G$47)</f>
        <v>0</v>
      </c>
      <c r="E165" s="9" t="n">
        <f aca="false">IFERROR(INDEX(ARIDE_Cohort!$C$6:$C$207,MATCH(A165,ARIDE_Cohort!$A$6:$A$207,0)),0)</f>
        <v>0</v>
      </c>
      <c r="F165" s="22" t="n">
        <f aca="false">MAX(Inputs!$B$24,IF(AND(Inputs!$B$29="ARIDE cohort",ARIDE_Cohort!$B$3&gt;=Inputs!$B$30),E165,D165))</f>
        <v>0.01</v>
      </c>
      <c r="G165" s="20" t="str">
        <f aca="false">IF(AND(Inputs!$B$29="ARIDE cohort",ARIDE_Cohort!$B$3&gt;=Inputs!$B$30),IF(E165&gt;Inputs!$B$24,"ARIDE cohort","Floor (ARIDE share below floor)"),IF(D165&gt;Inputs!$B$24,"Indian literature",IF(D165&gt;0,"Floor (Indian share below floor)","Floor (no Indian data)")))</f>
        <v>Floor (no Indian data)</v>
      </c>
      <c r="H165" s="23" t="n">
        <f aca="false">IF(B165="AR",Inputs!$B$14,IF(B165="AD",Inputs!$B$15,Inputs!$B$16))</f>
        <v>0.5</v>
      </c>
      <c r="I165" s="12"/>
      <c r="J165" s="24" t="n">
        <f aca="false">IF(I165="",H165,I165)</f>
        <v>0.5</v>
      </c>
      <c r="K165" s="12"/>
      <c r="L165" s="24" t="n">
        <f aca="false">IF(K165="",Inputs!$B$20,K165)</f>
        <v>0.5</v>
      </c>
      <c r="M165" s="25" t="n">
        <f aca="false">IF(B165="AR",SQRT(Inputs!$B$9*F165/J165),IF(B165="AD",Inputs!$B$9*F165/(2*J165),2*Inputs!$B$9*F165/J165))</f>
        <v>2.20985306828003E-005</v>
      </c>
      <c r="N165" s="25" t="n">
        <f aca="false">IF(B165="AR",IF(Inputs!$B$25=0,SQRT(Inputs!$B$8*F165/J165),(-Inputs!$B$25+SQRT(Inputs!$B$25^2+4*(1-Inputs!$B$25)*Inputs!$B$8*F165/J165))/(2*(1-Inputs!$B$25))),IF(B165="AD",Inputs!$B$8*F165/(2*J165),2*Inputs!$B$8*F165/J165))</f>
        <v>1.73321809276865E-005</v>
      </c>
      <c r="O165" s="25" t="n">
        <f aca="false">MIN(Inputs!$B$26,M165*L165)</f>
        <v>1.10492653414002E-005</v>
      </c>
      <c r="P165" s="25" t="n">
        <f aca="false">MIN(Inputs!$B$26,O165*Inputs!$B$19)</f>
        <v>0.000110492653414002</v>
      </c>
      <c r="Q165" s="25" t="n">
        <f aca="false">MIN(O165,N165*Inputs!$B$21)</f>
        <v>8.66609046384327E-007</v>
      </c>
      <c r="R165" s="26"/>
      <c r="S165" s="26"/>
      <c r="T165" s="26"/>
      <c r="U165" s="20" t="str">
        <f aca="false">IF(COUNT(R165:T165)&gt;0,"Published spec (+calc where blank)","Calculated (this workbook)")</f>
        <v>Calculated (this workbook)</v>
      </c>
      <c r="V165" s="28" t="n">
        <f aca="false">IF(R165="",MAX(P165,W165),R165)</f>
        <v>0.000110492653414002</v>
      </c>
      <c r="W165" s="28" t="n">
        <f aca="false">IF(S165="",O165,S165)</f>
        <v>1.10492653414002E-005</v>
      </c>
      <c r="X165" s="28" t="n">
        <f aca="false">IF(T165="",Q165,T165)</f>
        <v>8.66609046384327E-007</v>
      </c>
      <c r="Y165" s="20" t="str">
        <f aca="false">IF(S165="","",IF(O165&lt;S165,"Calc STRICTER (lower)","Calc more lenient (higher)"))</f>
        <v/>
      </c>
      <c r="Z165" s="20" t="str">
        <f aca="false">IF(B165="XL","Hemizygous male AF (grpmax)","grpmax FAF95; check SAS, IndiGen, GenomeIndia")</f>
        <v>grpmax FAF95; check SAS, IndiGen, GenomeIndia</v>
      </c>
      <c r="AA165" s="20"/>
      <c r="AB165" s="20"/>
    </row>
    <row r="166" customFormat="false" ht="15" hidden="false" customHeight="false" outlineLevel="0" collapsed="false">
      <c r="A166" s="19" t="s">
        <v>321</v>
      </c>
      <c r="B166" s="20" t="s">
        <v>109</v>
      </c>
      <c r="C166" s="20" t="s">
        <v>105</v>
      </c>
      <c r="D166" s="21" t="n">
        <f aca="false">SUMIF(Indian_Gene_Shares!$B$5:$B$47,A166,Indian_Gene_Shares!$G$5:$G$47)</f>
        <v>0</v>
      </c>
      <c r="E166" s="9" t="n">
        <f aca="false">IFERROR(INDEX(ARIDE_Cohort!$C$6:$C$207,MATCH(A166,ARIDE_Cohort!$A$6:$A$207,0)),0)</f>
        <v>0</v>
      </c>
      <c r="F166" s="22" t="n">
        <f aca="false">MAX(Inputs!$B$24,IF(AND(Inputs!$B$29="ARIDE cohort",ARIDE_Cohort!$B$3&gt;=Inputs!$B$30),E166,D166))</f>
        <v>0.01</v>
      </c>
      <c r="G166" s="20" t="str">
        <f aca="false">IF(AND(Inputs!$B$29="ARIDE cohort",ARIDE_Cohort!$B$3&gt;=Inputs!$B$30),IF(E166&gt;Inputs!$B$24,"ARIDE cohort","Floor (ARIDE share below floor)"),IF(D166&gt;Inputs!$B$24,"Indian literature",IF(D166&gt;0,"Floor (Indian share below floor)","Floor (no Indian data)")))</f>
        <v>Floor (no Indian data)</v>
      </c>
      <c r="H166" s="23" t="n">
        <f aca="false">IF(B166="AR",Inputs!$B$14,IF(B166="AD",Inputs!$B$15,Inputs!$B$16))</f>
        <v>0.5</v>
      </c>
      <c r="I166" s="12"/>
      <c r="J166" s="24" t="n">
        <f aca="false">IF(I166="",H166,I166)</f>
        <v>0.5</v>
      </c>
      <c r="K166" s="12"/>
      <c r="L166" s="24" t="n">
        <f aca="false">IF(K166="",Inputs!$B$20,K166)</f>
        <v>0.5</v>
      </c>
      <c r="M166" s="25" t="n">
        <f aca="false">IF(B166="AR",SQRT(Inputs!$B$9*F166/J166),IF(B166="AD",Inputs!$B$9*F166/(2*J166),2*Inputs!$B$9*F166/J166))</f>
        <v>2.20985306828003E-005</v>
      </c>
      <c r="N166" s="25" t="n">
        <f aca="false">IF(B166="AR",IF(Inputs!$B$25=0,SQRT(Inputs!$B$8*F166/J166),(-Inputs!$B$25+SQRT(Inputs!$B$25^2+4*(1-Inputs!$B$25)*Inputs!$B$8*F166/J166))/(2*(1-Inputs!$B$25))),IF(B166="AD",Inputs!$B$8*F166/(2*J166),2*Inputs!$B$8*F166/J166))</f>
        <v>1.73321809276865E-005</v>
      </c>
      <c r="O166" s="25" t="n">
        <f aca="false">MIN(Inputs!$B$26,M166*L166)</f>
        <v>1.10492653414002E-005</v>
      </c>
      <c r="P166" s="25" t="n">
        <f aca="false">MIN(Inputs!$B$26,O166*Inputs!$B$19)</f>
        <v>0.000110492653414002</v>
      </c>
      <c r="Q166" s="25" t="n">
        <f aca="false">MIN(O166,N166*Inputs!$B$21)</f>
        <v>8.66609046384327E-007</v>
      </c>
      <c r="R166" s="26"/>
      <c r="S166" s="26"/>
      <c r="T166" s="26"/>
      <c r="U166" s="20" t="str">
        <f aca="false">IF(COUNT(R166:T166)&gt;0,"Published spec (+calc where blank)","Calculated (this workbook)")</f>
        <v>Calculated (this workbook)</v>
      </c>
      <c r="V166" s="28" t="n">
        <f aca="false">IF(R166="",MAX(P166,W166),R166)</f>
        <v>0.000110492653414002</v>
      </c>
      <c r="W166" s="28" t="n">
        <f aca="false">IF(S166="",O166,S166)</f>
        <v>1.10492653414002E-005</v>
      </c>
      <c r="X166" s="28" t="n">
        <f aca="false">IF(T166="",Q166,T166)</f>
        <v>8.66609046384327E-007</v>
      </c>
      <c r="Y166" s="20" t="str">
        <f aca="false">IF(S166="","",IF(O166&lt;S166,"Calc STRICTER (lower)","Calc more lenient (higher)"))</f>
        <v/>
      </c>
      <c r="Z166" s="20" t="str">
        <f aca="false">IF(B166="XL","Hemizygous male AF (grpmax)","grpmax FAF95; check SAS, IndiGen, GenomeIndia")</f>
        <v>grpmax FAF95; check SAS, IndiGen, GenomeIndia</v>
      </c>
      <c r="AA166" s="20"/>
      <c r="AB166" s="20"/>
    </row>
    <row r="167" customFormat="false" ht="15" hidden="false" customHeight="false" outlineLevel="0" collapsed="false">
      <c r="A167" s="19" t="s">
        <v>322</v>
      </c>
      <c r="B167" s="20" t="s">
        <v>109</v>
      </c>
      <c r="C167" s="20" t="s">
        <v>225</v>
      </c>
      <c r="D167" s="21" t="n">
        <f aca="false">SUMIF(Indian_Gene_Shares!$B$5:$B$47,A167,Indian_Gene_Shares!$G$5:$G$47)</f>
        <v>0</v>
      </c>
      <c r="E167" s="9" t="n">
        <f aca="false">IFERROR(INDEX(ARIDE_Cohort!$C$6:$C$207,MATCH(A167,ARIDE_Cohort!$A$6:$A$207,0)),0)</f>
        <v>0</v>
      </c>
      <c r="F167" s="22" t="n">
        <f aca="false">MAX(Inputs!$B$24,IF(AND(Inputs!$B$29="ARIDE cohort",ARIDE_Cohort!$B$3&gt;=Inputs!$B$30),E167,D167))</f>
        <v>0.01</v>
      </c>
      <c r="G167" s="20" t="str">
        <f aca="false">IF(AND(Inputs!$B$29="ARIDE cohort",ARIDE_Cohort!$B$3&gt;=Inputs!$B$30),IF(E167&gt;Inputs!$B$24,"ARIDE cohort","Floor (ARIDE share below floor)"),IF(D167&gt;Inputs!$B$24,"Indian literature",IF(D167&gt;0,"Floor (Indian share below floor)","Floor (no Indian data)")))</f>
        <v>Floor (no Indian data)</v>
      </c>
      <c r="H167" s="23" t="n">
        <f aca="false">IF(B167="AR",Inputs!$B$14,IF(B167="AD",Inputs!$B$15,Inputs!$B$16))</f>
        <v>0.5</v>
      </c>
      <c r="I167" s="12"/>
      <c r="J167" s="24" t="n">
        <f aca="false">IF(I167="",H167,I167)</f>
        <v>0.5</v>
      </c>
      <c r="K167" s="12"/>
      <c r="L167" s="24" t="n">
        <f aca="false">IF(K167="",Inputs!$B$20,K167)</f>
        <v>0.5</v>
      </c>
      <c r="M167" s="25" t="n">
        <f aca="false">IF(B167="AR",SQRT(Inputs!$B$9*F167/J167),IF(B167="AD",Inputs!$B$9*F167/(2*J167),2*Inputs!$B$9*F167/J167))</f>
        <v>2.20985306828003E-005</v>
      </c>
      <c r="N167" s="25" t="n">
        <f aca="false">IF(B167="AR",IF(Inputs!$B$25=0,SQRT(Inputs!$B$8*F167/J167),(-Inputs!$B$25+SQRT(Inputs!$B$25^2+4*(1-Inputs!$B$25)*Inputs!$B$8*F167/J167))/(2*(1-Inputs!$B$25))),IF(B167="AD",Inputs!$B$8*F167/(2*J167),2*Inputs!$B$8*F167/J167))</f>
        <v>1.73321809276865E-005</v>
      </c>
      <c r="O167" s="25" t="n">
        <f aca="false">MIN(Inputs!$B$26,M167*L167)</f>
        <v>1.10492653414002E-005</v>
      </c>
      <c r="P167" s="25" t="n">
        <f aca="false">MIN(Inputs!$B$26,O167*Inputs!$B$19)</f>
        <v>0.000110492653414002</v>
      </c>
      <c r="Q167" s="25" t="n">
        <f aca="false">MIN(O167,N167*Inputs!$B$21)</f>
        <v>8.66609046384327E-007</v>
      </c>
      <c r="R167" s="26"/>
      <c r="S167" s="26"/>
      <c r="T167" s="26"/>
      <c r="U167" s="20" t="str">
        <f aca="false">IF(COUNT(R167:T167)&gt;0,"Published spec (+calc where blank)","Calculated (this workbook)")</f>
        <v>Calculated (this workbook)</v>
      </c>
      <c r="V167" s="28" t="n">
        <f aca="false">IF(R167="",MAX(P167,W167),R167)</f>
        <v>0.000110492653414002</v>
      </c>
      <c r="W167" s="28" t="n">
        <f aca="false">IF(S167="",O167,S167)</f>
        <v>1.10492653414002E-005</v>
      </c>
      <c r="X167" s="28" t="n">
        <f aca="false">IF(T167="",Q167,T167)</f>
        <v>8.66609046384327E-007</v>
      </c>
      <c r="Y167" s="20" t="str">
        <f aca="false">IF(S167="","",IF(O167&lt;S167,"Calc STRICTER (lower)","Calc more lenient (higher)"))</f>
        <v/>
      </c>
      <c r="Z167" s="20" t="str">
        <f aca="false">IF(B167="XL","Hemizygous male AF (grpmax)","grpmax FAF95; check SAS, IndiGen, GenomeIndia")</f>
        <v>grpmax FAF95; check SAS, IndiGen, GenomeIndia</v>
      </c>
      <c r="AA167" s="20"/>
      <c r="AB167" s="20"/>
    </row>
    <row r="168" customFormat="false" ht="15" hidden="false" customHeight="false" outlineLevel="0" collapsed="false">
      <c r="A168" s="19" t="s">
        <v>322</v>
      </c>
      <c r="B168" s="20" t="s">
        <v>96</v>
      </c>
      <c r="C168" s="20" t="s">
        <v>190</v>
      </c>
      <c r="D168" s="21" t="n">
        <f aca="false">SUMIF(Indian_Gene_Shares!$B$5:$B$47,A168,Indian_Gene_Shares!$G$5:$G$47)</f>
        <v>0</v>
      </c>
      <c r="E168" s="9" t="n">
        <f aca="false">IFERROR(INDEX(ARIDE_Cohort!$C$6:$C$207,MATCH(A168,ARIDE_Cohort!$A$6:$A$207,0)),0)</f>
        <v>0</v>
      </c>
      <c r="F168" s="22" t="n">
        <f aca="false">MAX(Inputs!$B$24,IF(AND(Inputs!$B$29="ARIDE cohort",ARIDE_Cohort!$B$3&gt;=Inputs!$B$30),E168,D168))</f>
        <v>0.01</v>
      </c>
      <c r="G168" s="20" t="str">
        <f aca="false">IF(AND(Inputs!$B$29="ARIDE cohort",ARIDE_Cohort!$B$3&gt;=Inputs!$B$30),IF(E168&gt;Inputs!$B$24,"ARIDE cohort","Floor (ARIDE share below floor)"),IF(D168&gt;Inputs!$B$24,"Indian literature",IF(D168&gt;0,"Floor (Indian share below floor)","Floor (no Indian data)")))</f>
        <v>Floor (no Indian data)</v>
      </c>
      <c r="H168" s="23" t="n">
        <f aca="false">IF(B168="AR",Inputs!$B$14,IF(B168="AD",Inputs!$B$15,Inputs!$B$16))</f>
        <v>1</v>
      </c>
      <c r="I168" s="12"/>
      <c r="J168" s="24" t="n">
        <f aca="false">IF(I168="",H168,I168)</f>
        <v>1</v>
      </c>
      <c r="K168" s="12"/>
      <c r="L168" s="24" t="n">
        <f aca="false">IF(K168="",Inputs!$B$20,K168)</f>
        <v>0.5</v>
      </c>
      <c r="M168" s="25" t="n">
        <f aca="false">IF(B168="AR",SQRT(Inputs!$B$9*F168/J168),IF(B168="AD",Inputs!$B$9*F168/(2*J168),2*Inputs!$B$9*F168/J168))</f>
        <v>0.00470090743184764</v>
      </c>
      <c r="N168" s="25" t="n">
        <f aca="false">IF(B168="AR",IF(Inputs!$B$25=0,SQRT(Inputs!$B$8*F168/J168),(-Inputs!$B$25+SQRT(Inputs!$B$25^2+4*(1-Inputs!$B$25)*Inputs!$B$8*F168/J168))/(2*(1-Inputs!$B$25))),IF(B168="AD",Inputs!$B$8*F168/(2*J168),2*Inputs!$B$8*F168/J168))</f>
        <v>0.00416319359719033</v>
      </c>
      <c r="O168" s="25" t="n">
        <f aca="false">MIN(Inputs!$B$26,M168*L168)</f>
        <v>0.00235045371592382</v>
      </c>
      <c r="P168" s="25" t="n">
        <f aca="false">MIN(Inputs!$B$26,O168*Inputs!$B$19)</f>
        <v>0.0235045371592382</v>
      </c>
      <c r="Q168" s="25" t="n">
        <f aca="false">MIN(O168,N168*Inputs!$B$21)</f>
        <v>0.000208159679859516</v>
      </c>
      <c r="R168" s="26"/>
      <c r="S168" s="26"/>
      <c r="T168" s="26"/>
      <c r="U168" s="20" t="str">
        <f aca="false">IF(COUNT(R168:T168)&gt;0,"Published spec (+calc where blank)","Calculated (this workbook)")</f>
        <v>Calculated (this workbook)</v>
      </c>
      <c r="V168" s="28" t="n">
        <f aca="false">IF(R168="",MAX(P168,W168),R168)</f>
        <v>0.0235045371592382</v>
      </c>
      <c r="W168" s="28" t="n">
        <f aca="false">IF(S168="",O168,S168)</f>
        <v>0.00235045371592382</v>
      </c>
      <c r="X168" s="28" t="n">
        <f aca="false">IF(T168="",Q168,T168)</f>
        <v>0.000208159679859516</v>
      </c>
      <c r="Y168" s="20" t="str">
        <f aca="false">IF(S168="","",IF(O168&lt;S168,"Calc STRICTER (lower)","Calc more lenient (higher)"))</f>
        <v/>
      </c>
      <c r="Z168" s="20" t="str">
        <f aca="false">IF(B168="XL","Hemizygous male AF (grpmax)","grpmax FAF95; check SAS, IndiGen, GenomeIndia")</f>
        <v>grpmax FAF95; check SAS, IndiGen, GenomeIndia</v>
      </c>
      <c r="AA168" s="20"/>
      <c r="AB168" s="20"/>
    </row>
    <row r="169" customFormat="false" ht="15" hidden="false" customHeight="false" outlineLevel="0" collapsed="false">
      <c r="A169" s="19" t="s">
        <v>323</v>
      </c>
      <c r="B169" s="20" t="s">
        <v>96</v>
      </c>
      <c r="C169" s="20" t="s">
        <v>103</v>
      </c>
      <c r="D169" s="21" t="n">
        <f aca="false">SUMIF(Indian_Gene_Shares!$B$5:$B$47,A169,Indian_Gene_Shares!$G$5:$G$47)</f>
        <v>0</v>
      </c>
      <c r="E169" s="9" t="n">
        <f aca="false">IFERROR(INDEX(ARIDE_Cohort!$C$6:$C$207,MATCH(A169,ARIDE_Cohort!$A$6:$A$207,0)),0)</f>
        <v>0</v>
      </c>
      <c r="F169" s="22" t="n">
        <f aca="false">MAX(Inputs!$B$24,IF(AND(Inputs!$B$29="ARIDE cohort",ARIDE_Cohort!$B$3&gt;=Inputs!$B$30),E169,D169))</f>
        <v>0.01</v>
      </c>
      <c r="G169" s="20" t="str">
        <f aca="false">IF(AND(Inputs!$B$29="ARIDE cohort",ARIDE_Cohort!$B$3&gt;=Inputs!$B$30),IF(E169&gt;Inputs!$B$24,"ARIDE cohort","Floor (ARIDE share below floor)"),IF(D169&gt;Inputs!$B$24,"Indian literature",IF(D169&gt;0,"Floor (Indian share below floor)","Floor (no Indian data)")))</f>
        <v>Floor (no Indian data)</v>
      </c>
      <c r="H169" s="23" t="n">
        <f aca="false">IF(B169="AR",Inputs!$B$14,IF(B169="AD",Inputs!$B$15,Inputs!$B$16))</f>
        <v>1</v>
      </c>
      <c r="I169" s="12"/>
      <c r="J169" s="24" t="n">
        <f aca="false">IF(I169="",H169,I169)</f>
        <v>1</v>
      </c>
      <c r="K169" s="12"/>
      <c r="L169" s="24" t="n">
        <f aca="false">IF(K169="",Inputs!$B$20,K169)</f>
        <v>0.5</v>
      </c>
      <c r="M169" s="25" t="n">
        <f aca="false">IF(B169="AR",SQRT(Inputs!$B$9*F169/J169),IF(B169="AD",Inputs!$B$9*F169/(2*J169),2*Inputs!$B$9*F169/J169))</f>
        <v>0.00470090743184764</v>
      </c>
      <c r="N169" s="25" t="n">
        <f aca="false">IF(B169="AR",IF(Inputs!$B$25=0,SQRT(Inputs!$B$8*F169/J169),(-Inputs!$B$25+SQRT(Inputs!$B$25^2+4*(1-Inputs!$B$25)*Inputs!$B$8*F169/J169))/(2*(1-Inputs!$B$25))),IF(B169="AD",Inputs!$B$8*F169/(2*J169),2*Inputs!$B$8*F169/J169))</f>
        <v>0.00416319359719033</v>
      </c>
      <c r="O169" s="25" t="n">
        <f aca="false">MIN(Inputs!$B$26,M169*L169)</f>
        <v>0.00235045371592382</v>
      </c>
      <c r="P169" s="25" t="n">
        <f aca="false">MIN(Inputs!$B$26,O169*Inputs!$B$19)</f>
        <v>0.0235045371592382</v>
      </c>
      <c r="Q169" s="25" t="n">
        <f aca="false">MIN(O169,N169*Inputs!$B$21)</f>
        <v>0.000208159679859516</v>
      </c>
      <c r="R169" s="26"/>
      <c r="S169" s="26"/>
      <c r="T169" s="26"/>
      <c r="U169" s="20" t="str">
        <f aca="false">IF(COUNT(R169:T169)&gt;0,"Published spec (+calc where blank)","Calculated (this workbook)")</f>
        <v>Calculated (this workbook)</v>
      </c>
      <c r="V169" s="28" t="n">
        <f aca="false">IF(R169="",MAX(P169,W169),R169)</f>
        <v>0.0235045371592382</v>
      </c>
      <c r="W169" s="28" t="n">
        <f aca="false">IF(S169="",O169,S169)</f>
        <v>0.00235045371592382</v>
      </c>
      <c r="X169" s="28" t="n">
        <f aca="false">IF(T169="",Q169,T169)</f>
        <v>0.000208159679859516</v>
      </c>
      <c r="Y169" s="20" t="str">
        <f aca="false">IF(S169="","",IF(O169&lt;S169,"Calc STRICTER (lower)","Calc more lenient (higher)"))</f>
        <v/>
      </c>
      <c r="Z169" s="20" t="str">
        <f aca="false">IF(B169="XL","Hemizygous male AF (grpmax)","grpmax FAF95; check SAS, IndiGen, GenomeIndia")</f>
        <v>grpmax FAF95; check SAS, IndiGen, GenomeIndia</v>
      </c>
      <c r="AA169" s="20"/>
      <c r="AB169" s="20"/>
    </row>
    <row r="170" customFormat="false" ht="15" hidden="false" customHeight="false" outlineLevel="0" collapsed="false">
      <c r="A170" s="19" t="s">
        <v>324</v>
      </c>
      <c r="B170" s="20" t="s">
        <v>109</v>
      </c>
      <c r="C170" s="20" t="s">
        <v>103</v>
      </c>
      <c r="D170" s="21" t="n">
        <f aca="false">SUMIF(Indian_Gene_Shares!$B$5:$B$47,A170,Indian_Gene_Shares!$G$5:$G$47)</f>
        <v>0</v>
      </c>
      <c r="E170" s="9" t="n">
        <f aca="false">IFERROR(INDEX(ARIDE_Cohort!$C$6:$C$207,MATCH(A170,ARIDE_Cohort!$A$6:$A$207,0)),0)</f>
        <v>0</v>
      </c>
      <c r="F170" s="22" t="n">
        <f aca="false">MAX(Inputs!$B$24,IF(AND(Inputs!$B$29="ARIDE cohort",ARIDE_Cohort!$B$3&gt;=Inputs!$B$30),E170,D170))</f>
        <v>0.01</v>
      </c>
      <c r="G170" s="20" t="str">
        <f aca="false">IF(AND(Inputs!$B$29="ARIDE cohort",ARIDE_Cohort!$B$3&gt;=Inputs!$B$30),IF(E170&gt;Inputs!$B$24,"ARIDE cohort","Floor (ARIDE share below floor)"),IF(D170&gt;Inputs!$B$24,"Indian literature",IF(D170&gt;0,"Floor (Indian share below floor)","Floor (no Indian data)")))</f>
        <v>Floor (no Indian data)</v>
      </c>
      <c r="H170" s="23" t="n">
        <f aca="false">IF(B170="AR",Inputs!$B$14,IF(B170="AD",Inputs!$B$15,Inputs!$B$16))</f>
        <v>0.5</v>
      </c>
      <c r="I170" s="12"/>
      <c r="J170" s="24" t="n">
        <f aca="false">IF(I170="",H170,I170)</f>
        <v>0.5</v>
      </c>
      <c r="K170" s="12"/>
      <c r="L170" s="24" t="n">
        <f aca="false">IF(K170="",Inputs!$B$20,K170)</f>
        <v>0.5</v>
      </c>
      <c r="M170" s="25" t="n">
        <f aca="false">IF(B170="AR",SQRT(Inputs!$B$9*F170/J170),IF(B170="AD",Inputs!$B$9*F170/(2*J170),2*Inputs!$B$9*F170/J170))</f>
        <v>2.20985306828003E-005</v>
      </c>
      <c r="N170" s="25" t="n">
        <f aca="false">IF(B170="AR",IF(Inputs!$B$25=0,SQRT(Inputs!$B$8*F170/J170),(-Inputs!$B$25+SQRT(Inputs!$B$25^2+4*(1-Inputs!$B$25)*Inputs!$B$8*F170/J170))/(2*(1-Inputs!$B$25))),IF(B170="AD",Inputs!$B$8*F170/(2*J170),2*Inputs!$B$8*F170/J170))</f>
        <v>1.73321809276865E-005</v>
      </c>
      <c r="O170" s="25" t="n">
        <f aca="false">MIN(Inputs!$B$26,M170*L170)</f>
        <v>1.10492653414002E-005</v>
      </c>
      <c r="P170" s="25" t="n">
        <f aca="false">MIN(Inputs!$B$26,O170*Inputs!$B$19)</f>
        <v>0.000110492653414002</v>
      </c>
      <c r="Q170" s="25" t="n">
        <f aca="false">MIN(O170,N170*Inputs!$B$21)</f>
        <v>8.66609046384327E-007</v>
      </c>
      <c r="R170" s="26"/>
      <c r="S170" s="26"/>
      <c r="T170" s="26"/>
      <c r="U170" s="20" t="str">
        <f aca="false">IF(COUNT(R170:T170)&gt;0,"Published spec (+calc where blank)","Calculated (this workbook)")</f>
        <v>Calculated (this workbook)</v>
      </c>
      <c r="V170" s="28" t="n">
        <f aca="false">IF(R170="",MAX(P170,W170),R170)</f>
        <v>0.000110492653414002</v>
      </c>
      <c r="W170" s="28" t="n">
        <f aca="false">IF(S170="",O170,S170)</f>
        <v>1.10492653414002E-005</v>
      </c>
      <c r="X170" s="28" t="n">
        <f aca="false">IF(T170="",Q170,T170)</f>
        <v>8.66609046384327E-007</v>
      </c>
      <c r="Y170" s="20" t="str">
        <f aca="false">IF(S170="","",IF(O170&lt;S170,"Calc STRICTER (lower)","Calc more lenient (higher)"))</f>
        <v/>
      </c>
      <c r="Z170" s="20" t="str">
        <f aca="false">IF(B170="XL","Hemizygous male AF (grpmax)","grpmax FAF95; check SAS, IndiGen, GenomeIndia")</f>
        <v>grpmax FAF95; check SAS, IndiGen, GenomeIndia</v>
      </c>
      <c r="AA170" s="20"/>
      <c r="AB170" s="20"/>
    </row>
    <row r="171" customFormat="false" ht="15" hidden="false" customHeight="false" outlineLevel="0" collapsed="false">
      <c r="A171" s="19" t="s">
        <v>324</v>
      </c>
      <c r="B171" s="20" t="s">
        <v>96</v>
      </c>
      <c r="C171" s="20" t="s">
        <v>103</v>
      </c>
      <c r="D171" s="21" t="n">
        <f aca="false">SUMIF(Indian_Gene_Shares!$B$5:$B$47,A171,Indian_Gene_Shares!$G$5:$G$47)</f>
        <v>0</v>
      </c>
      <c r="E171" s="9" t="n">
        <f aca="false">IFERROR(INDEX(ARIDE_Cohort!$C$6:$C$207,MATCH(A171,ARIDE_Cohort!$A$6:$A$207,0)),0)</f>
        <v>0</v>
      </c>
      <c r="F171" s="22" t="n">
        <f aca="false">MAX(Inputs!$B$24,IF(AND(Inputs!$B$29="ARIDE cohort",ARIDE_Cohort!$B$3&gt;=Inputs!$B$30),E171,D171))</f>
        <v>0.01</v>
      </c>
      <c r="G171" s="20" t="str">
        <f aca="false">IF(AND(Inputs!$B$29="ARIDE cohort",ARIDE_Cohort!$B$3&gt;=Inputs!$B$30),IF(E171&gt;Inputs!$B$24,"ARIDE cohort","Floor (ARIDE share below floor)"),IF(D171&gt;Inputs!$B$24,"Indian literature",IF(D171&gt;0,"Floor (Indian share below floor)","Floor (no Indian data)")))</f>
        <v>Floor (no Indian data)</v>
      </c>
      <c r="H171" s="23" t="n">
        <f aca="false">IF(B171="AR",Inputs!$B$14,IF(B171="AD",Inputs!$B$15,Inputs!$B$16))</f>
        <v>1</v>
      </c>
      <c r="I171" s="12"/>
      <c r="J171" s="24" t="n">
        <f aca="false">IF(I171="",H171,I171)</f>
        <v>1</v>
      </c>
      <c r="K171" s="12"/>
      <c r="L171" s="24" t="n">
        <f aca="false">IF(K171="",Inputs!$B$20,K171)</f>
        <v>0.5</v>
      </c>
      <c r="M171" s="25" t="n">
        <f aca="false">IF(B171="AR",SQRT(Inputs!$B$9*F171/J171),IF(B171="AD",Inputs!$B$9*F171/(2*J171),2*Inputs!$B$9*F171/J171))</f>
        <v>0.00470090743184764</v>
      </c>
      <c r="N171" s="25" t="n">
        <f aca="false">IF(B171="AR",IF(Inputs!$B$25=0,SQRT(Inputs!$B$8*F171/J171),(-Inputs!$B$25+SQRT(Inputs!$B$25^2+4*(1-Inputs!$B$25)*Inputs!$B$8*F171/J171))/(2*(1-Inputs!$B$25))),IF(B171="AD",Inputs!$B$8*F171/(2*J171),2*Inputs!$B$8*F171/J171))</f>
        <v>0.00416319359719033</v>
      </c>
      <c r="O171" s="25" t="n">
        <f aca="false">MIN(Inputs!$B$26,M171*L171)</f>
        <v>0.00235045371592382</v>
      </c>
      <c r="P171" s="25" t="n">
        <f aca="false">MIN(Inputs!$B$26,O171*Inputs!$B$19)</f>
        <v>0.0235045371592382</v>
      </c>
      <c r="Q171" s="25" t="n">
        <f aca="false">MIN(O171,N171*Inputs!$B$21)</f>
        <v>0.000208159679859516</v>
      </c>
      <c r="R171" s="26"/>
      <c r="S171" s="26"/>
      <c r="T171" s="26"/>
      <c r="U171" s="20" t="str">
        <f aca="false">IF(COUNT(R171:T171)&gt;0,"Published spec (+calc where blank)","Calculated (this workbook)")</f>
        <v>Calculated (this workbook)</v>
      </c>
      <c r="V171" s="28" t="n">
        <f aca="false">IF(R171="",MAX(P171,W171),R171)</f>
        <v>0.0235045371592382</v>
      </c>
      <c r="W171" s="28" t="n">
        <f aca="false">IF(S171="",O171,S171)</f>
        <v>0.00235045371592382</v>
      </c>
      <c r="X171" s="28" t="n">
        <f aca="false">IF(T171="",Q171,T171)</f>
        <v>0.000208159679859516</v>
      </c>
      <c r="Y171" s="20" t="str">
        <f aca="false">IF(S171="","",IF(O171&lt;S171,"Calc STRICTER (lower)","Calc more lenient (higher)"))</f>
        <v/>
      </c>
      <c r="Z171" s="20" t="str">
        <f aca="false">IF(B171="XL","Hemizygous male AF (grpmax)","grpmax FAF95; check SAS, IndiGen, GenomeIndia")</f>
        <v>grpmax FAF95; check SAS, IndiGen, GenomeIndia</v>
      </c>
      <c r="AA171" s="20"/>
      <c r="AB171" s="20"/>
    </row>
    <row r="172" customFormat="false" ht="15" hidden="false" customHeight="false" outlineLevel="0" collapsed="false">
      <c r="A172" s="19" t="s">
        <v>325</v>
      </c>
      <c r="B172" s="20" t="s">
        <v>96</v>
      </c>
      <c r="C172" s="20" t="s">
        <v>105</v>
      </c>
      <c r="D172" s="21" t="n">
        <f aca="false">SUMIF(Indian_Gene_Shares!$B$5:$B$47,A172,Indian_Gene_Shares!$G$5:$G$47)</f>
        <v>0</v>
      </c>
      <c r="E172" s="9" t="n">
        <f aca="false">IFERROR(INDEX(ARIDE_Cohort!$C$6:$C$207,MATCH(A172,ARIDE_Cohort!$A$6:$A$207,0)),0)</f>
        <v>0</v>
      </c>
      <c r="F172" s="22" t="n">
        <f aca="false">MAX(Inputs!$B$24,IF(AND(Inputs!$B$29="ARIDE cohort",ARIDE_Cohort!$B$3&gt;=Inputs!$B$30),E172,D172))</f>
        <v>0.01</v>
      </c>
      <c r="G172" s="20" t="str">
        <f aca="false">IF(AND(Inputs!$B$29="ARIDE cohort",ARIDE_Cohort!$B$3&gt;=Inputs!$B$30),IF(E172&gt;Inputs!$B$24,"ARIDE cohort","Floor (ARIDE share below floor)"),IF(D172&gt;Inputs!$B$24,"Indian literature",IF(D172&gt;0,"Floor (Indian share below floor)","Floor (no Indian data)")))</f>
        <v>Floor (no Indian data)</v>
      </c>
      <c r="H172" s="23" t="n">
        <f aca="false">IF(B172="AR",Inputs!$B$14,IF(B172="AD",Inputs!$B$15,Inputs!$B$16))</f>
        <v>1</v>
      </c>
      <c r="I172" s="12"/>
      <c r="J172" s="24" t="n">
        <f aca="false">IF(I172="",H172,I172)</f>
        <v>1</v>
      </c>
      <c r="K172" s="12"/>
      <c r="L172" s="24" t="n">
        <f aca="false">IF(K172="",Inputs!$B$20,K172)</f>
        <v>0.5</v>
      </c>
      <c r="M172" s="25" t="n">
        <f aca="false">IF(B172="AR",SQRT(Inputs!$B$9*F172/J172),IF(B172="AD",Inputs!$B$9*F172/(2*J172),2*Inputs!$B$9*F172/J172))</f>
        <v>0.00470090743184764</v>
      </c>
      <c r="N172" s="25" t="n">
        <f aca="false">IF(B172="AR",IF(Inputs!$B$25=0,SQRT(Inputs!$B$8*F172/J172),(-Inputs!$B$25+SQRT(Inputs!$B$25^2+4*(1-Inputs!$B$25)*Inputs!$B$8*F172/J172))/(2*(1-Inputs!$B$25))),IF(B172="AD",Inputs!$B$8*F172/(2*J172),2*Inputs!$B$8*F172/J172))</f>
        <v>0.00416319359719033</v>
      </c>
      <c r="O172" s="25" t="n">
        <f aca="false">MIN(Inputs!$B$26,M172*L172)</f>
        <v>0.00235045371592382</v>
      </c>
      <c r="P172" s="25" t="n">
        <f aca="false">MIN(Inputs!$B$26,O172*Inputs!$B$19)</f>
        <v>0.0235045371592382</v>
      </c>
      <c r="Q172" s="25" t="n">
        <f aca="false">MIN(O172,N172*Inputs!$B$21)</f>
        <v>0.000208159679859516</v>
      </c>
      <c r="R172" s="26"/>
      <c r="S172" s="26"/>
      <c r="T172" s="26"/>
      <c r="U172" s="20" t="str">
        <f aca="false">IF(COUNT(R172:T172)&gt;0,"Published spec (+calc where blank)","Calculated (this workbook)")</f>
        <v>Calculated (this workbook)</v>
      </c>
      <c r="V172" s="28" t="n">
        <f aca="false">IF(R172="",MAX(P172,W172),R172)</f>
        <v>0.0235045371592382</v>
      </c>
      <c r="W172" s="28" t="n">
        <f aca="false">IF(S172="",O172,S172)</f>
        <v>0.00235045371592382</v>
      </c>
      <c r="X172" s="28" t="n">
        <f aca="false">IF(T172="",Q172,T172)</f>
        <v>0.000208159679859516</v>
      </c>
      <c r="Y172" s="20" t="str">
        <f aca="false">IF(S172="","",IF(O172&lt;S172,"Calc STRICTER (lower)","Calc more lenient (higher)"))</f>
        <v/>
      </c>
      <c r="Z172" s="20" t="str">
        <f aca="false">IF(B172="XL","Hemizygous male AF (grpmax)","grpmax FAF95; check SAS, IndiGen, GenomeIndia")</f>
        <v>grpmax FAF95; check SAS, IndiGen, GenomeIndia</v>
      </c>
      <c r="AA172" s="20"/>
      <c r="AB172" s="20"/>
    </row>
    <row r="173" customFormat="false" ht="15" hidden="false" customHeight="false" outlineLevel="0" collapsed="false">
      <c r="A173" s="19" t="s">
        <v>326</v>
      </c>
      <c r="B173" s="20" t="s">
        <v>96</v>
      </c>
      <c r="C173" s="20" t="s">
        <v>327</v>
      </c>
      <c r="D173" s="21" t="n">
        <f aca="false">SUMIF(Indian_Gene_Shares!$B$5:$B$47,A173,Indian_Gene_Shares!$G$5:$G$47)</f>
        <v>0</v>
      </c>
      <c r="E173" s="9" t="n">
        <f aca="false">IFERROR(INDEX(ARIDE_Cohort!$C$6:$C$207,MATCH(A173,ARIDE_Cohort!$A$6:$A$207,0)),0)</f>
        <v>0</v>
      </c>
      <c r="F173" s="22" t="n">
        <f aca="false">MAX(Inputs!$B$24,IF(AND(Inputs!$B$29="ARIDE cohort",ARIDE_Cohort!$B$3&gt;=Inputs!$B$30),E173,D173))</f>
        <v>0.01</v>
      </c>
      <c r="G173" s="20" t="str">
        <f aca="false">IF(AND(Inputs!$B$29="ARIDE cohort",ARIDE_Cohort!$B$3&gt;=Inputs!$B$30),IF(E173&gt;Inputs!$B$24,"ARIDE cohort","Floor (ARIDE share below floor)"),IF(D173&gt;Inputs!$B$24,"Indian literature",IF(D173&gt;0,"Floor (Indian share below floor)","Floor (no Indian data)")))</f>
        <v>Floor (no Indian data)</v>
      </c>
      <c r="H173" s="23" t="n">
        <f aca="false">IF(B173="AR",Inputs!$B$14,IF(B173="AD",Inputs!$B$15,Inputs!$B$16))</f>
        <v>1</v>
      </c>
      <c r="I173" s="12"/>
      <c r="J173" s="24" t="n">
        <f aca="false">IF(I173="",H173,I173)</f>
        <v>1</v>
      </c>
      <c r="K173" s="12"/>
      <c r="L173" s="24" t="n">
        <f aca="false">IF(K173="",Inputs!$B$20,K173)</f>
        <v>0.5</v>
      </c>
      <c r="M173" s="25" t="n">
        <f aca="false">IF(B173="AR",SQRT(Inputs!$B$9*F173/J173),IF(B173="AD",Inputs!$B$9*F173/(2*J173),2*Inputs!$B$9*F173/J173))</f>
        <v>0.00470090743184764</v>
      </c>
      <c r="N173" s="25" t="n">
        <f aca="false">IF(B173="AR",IF(Inputs!$B$25=0,SQRT(Inputs!$B$8*F173/J173),(-Inputs!$B$25+SQRT(Inputs!$B$25^2+4*(1-Inputs!$B$25)*Inputs!$B$8*F173/J173))/(2*(1-Inputs!$B$25))),IF(B173="AD",Inputs!$B$8*F173/(2*J173),2*Inputs!$B$8*F173/J173))</f>
        <v>0.00416319359719033</v>
      </c>
      <c r="O173" s="25" t="n">
        <f aca="false">MIN(Inputs!$B$26,M173*L173)</f>
        <v>0.00235045371592382</v>
      </c>
      <c r="P173" s="25" t="n">
        <f aca="false">MIN(Inputs!$B$26,O173*Inputs!$B$19)</f>
        <v>0.0235045371592382</v>
      </c>
      <c r="Q173" s="25" t="n">
        <f aca="false">MIN(O173,N173*Inputs!$B$21)</f>
        <v>0.000208159679859516</v>
      </c>
      <c r="R173" s="26"/>
      <c r="S173" s="26"/>
      <c r="T173" s="26"/>
      <c r="U173" s="20" t="str">
        <f aca="false">IF(COUNT(R173:T173)&gt;0,"Published spec (+calc where blank)","Calculated (this workbook)")</f>
        <v>Calculated (this workbook)</v>
      </c>
      <c r="V173" s="28" t="n">
        <f aca="false">IF(R173="",MAX(P173,W173),R173)</f>
        <v>0.0235045371592382</v>
      </c>
      <c r="W173" s="28" t="n">
        <f aca="false">IF(S173="",O173,S173)</f>
        <v>0.00235045371592382</v>
      </c>
      <c r="X173" s="28" t="n">
        <f aca="false">IF(T173="",Q173,T173)</f>
        <v>0.000208159679859516</v>
      </c>
      <c r="Y173" s="20" t="str">
        <f aca="false">IF(S173="","",IF(O173&lt;S173,"Calc STRICTER (lower)","Calc more lenient (higher)"))</f>
        <v/>
      </c>
      <c r="Z173" s="20" t="str">
        <f aca="false">IF(B173="XL","Hemizygous male AF (grpmax)","grpmax FAF95; check SAS, IndiGen, GenomeIndia")</f>
        <v>grpmax FAF95; check SAS, IndiGen, GenomeIndia</v>
      </c>
      <c r="AA173" s="20"/>
      <c r="AB173" s="20"/>
    </row>
    <row r="174" customFormat="false" ht="15" hidden="false" customHeight="false" outlineLevel="0" collapsed="false">
      <c r="A174" s="19" t="s">
        <v>328</v>
      </c>
      <c r="B174" s="20" t="s">
        <v>96</v>
      </c>
      <c r="C174" s="20" t="s">
        <v>329</v>
      </c>
      <c r="D174" s="21" t="n">
        <f aca="false">SUMIF(Indian_Gene_Shares!$B$5:$B$47,A174,Indian_Gene_Shares!$G$5:$G$47)</f>
        <v>0</v>
      </c>
      <c r="E174" s="9" t="n">
        <f aca="false">IFERROR(INDEX(ARIDE_Cohort!$C$6:$C$207,MATCH(A174,ARIDE_Cohort!$A$6:$A$207,0)),0)</f>
        <v>0</v>
      </c>
      <c r="F174" s="22" t="n">
        <f aca="false">MAX(Inputs!$B$24,IF(AND(Inputs!$B$29="ARIDE cohort",ARIDE_Cohort!$B$3&gt;=Inputs!$B$30),E174,D174))</f>
        <v>0.01</v>
      </c>
      <c r="G174" s="20" t="str">
        <f aca="false">IF(AND(Inputs!$B$29="ARIDE cohort",ARIDE_Cohort!$B$3&gt;=Inputs!$B$30),IF(E174&gt;Inputs!$B$24,"ARIDE cohort","Floor (ARIDE share below floor)"),IF(D174&gt;Inputs!$B$24,"Indian literature",IF(D174&gt;0,"Floor (Indian share below floor)","Floor (no Indian data)")))</f>
        <v>Floor (no Indian data)</v>
      </c>
      <c r="H174" s="23" t="n">
        <f aca="false">IF(B174="AR",Inputs!$B$14,IF(B174="AD",Inputs!$B$15,Inputs!$B$16))</f>
        <v>1</v>
      </c>
      <c r="I174" s="12"/>
      <c r="J174" s="24" t="n">
        <f aca="false">IF(I174="",H174,I174)</f>
        <v>1</v>
      </c>
      <c r="K174" s="12"/>
      <c r="L174" s="24" t="n">
        <f aca="false">IF(K174="",Inputs!$B$20,K174)</f>
        <v>0.5</v>
      </c>
      <c r="M174" s="25" t="n">
        <f aca="false">IF(B174="AR",SQRT(Inputs!$B$9*F174/J174),IF(B174="AD",Inputs!$B$9*F174/(2*J174),2*Inputs!$B$9*F174/J174))</f>
        <v>0.00470090743184764</v>
      </c>
      <c r="N174" s="25" t="n">
        <f aca="false">IF(B174="AR",IF(Inputs!$B$25=0,SQRT(Inputs!$B$8*F174/J174),(-Inputs!$B$25+SQRT(Inputs!$B$25^2+4*(1-Inputs!$B$25)*Inputs!$B$8*F174/J174))/(2*(1-Inputs!$B$25))),IF(B174="AD",Inputs!$B$8*F174/(2*J174),2*Inputs!$B$8*F174/J174))</f>
        <v>0.00416319359719033</v>
      </c>
      <c r="O174" s="25" t="n">
        <f aca="false">MIN(Inputs!$B$26,M174*L174)</f>
        <v>0.00235045371592382</v>
      </c>
      <c r="P174" s="25" t="n">
        <f aca="false">MIN(Inputs!$B$26,O174*Inputs!$B$19)</f>
        <v>0.0235045371592382</v>
      </c>
      <c r="Q174" s="25" t="n">
        <f aca="false">MIN(O174,N174*Inputs!$B$21)</f>
        <v>0.000208159679859516</v>
      </c>
      <c r="R174" s="26"/>
      <c r="S174" s="26"/>
      <c r="T174" s="26"/>
      <c r="U174" s="20" t="str">
        <f aca="false">IF(COUNT(R174:T174)&gt;0,"Published spec (+calc where blank)","Calculated (this workbook)")</f>
        <v>Calculated (this workbook)</v>
      </c>
      <c r="V174" s="28" t="n">
        <f aca="false">IF(R174="",MAX(P174,W174),R174)</f>
        <v>0.0235045371592382</v>
      </c>
      <c r="W174" s="28" t="n">
        <f aca="false">IF(S174="",O174,S174)</f>
        <v>0.00235045371592382</v>
      </c>
      <c r="X174" s="28" t="n">
        <f aca="false">IF(T174="",Q174,T174)</f>
        <v>0.000208159679859516</v>
      </c>
      <c r="Y174" s="20" t="str">
        <f aca="false">IF(S174="","",IF(O174&lt;S174,"Calc STRICTER (lower)","Calc more lenient (higher)"))</f>
        <v/>
      </c>
      <c r="Z174" s="20" t="str">
        <f aca="false">IF(B174="XL","Hemizygous male AF (grpmax)","grpmax FAF95; check SAS, IndiGen, GenomeIndia")</f>
        <v>grpmax FAF95; check SAS, IndiGen, GenomeIndia</v>
      </c>
      <c r="AA174" s="20"/>
      <c r="AB174" s="20"/>
    </row>
    <row r="175" customFormat="false" ht="15" hidden="false" customHeight="false" outlineLevel="0" collapsed="false">
      <c r="A175" s="19" t="s">
        <v>330</v>
      </c>
      <c r="B175" s="20" t="s">
        <v>96</v>
      </c>
      <c r="C175" s="20" t="s">
        <v>115</v>
      </c>
      <c r="D175" s="21" t="n">
        <f aca="false">SUMIF(Indian_Gene_Shares!$B$5:$B$47,A175,Indian_Gene_Shares!$G$5:$G$47)</f>
        <v>0</v>
      </c>
      <c r="E175" s="9" t="n">
        <f aca="false">IFERROR(INDEX(ARIDE_Cohort!$C$6:$C$207,MATCH(A175,ARIDE_Cohort!$A$6:$A$207,0)),0)</f>
        <v>0</v>
      </c>
      <c r="F175" s="22" t="n">
        <f aca="false">MAX(Inputs!$B$24,IF(AND(Inputs!$B$29="ARIDE cohort",ARIDE_Cohort!$B$3&gt;=Inputs!$B$30),E175,D175))</f>
        <v>0.01</v>
      </c>
      <c r="G175" s="20" t="str">
        <f aca="false">IF(AND(Inputs!$B$29="ARIDE cohort",ARIDE_Cohort!$B$3&gt;=Inputs!$B$30),IF(E175&gt;Inputs!$B$24,"ARIDE cohort","Floor (ARIDE share below floor)"),IF(D175&gt;Inputs!$B$24,"Indian literature",IF(D175&gt;0,"Floor (Indian share below floor)","Floor (no Indian data)")))</f>
        <v>Floor (no Indian data)</v>
      </c>
      <c r="H175" s="23" t="n">
        <f aca="false">IF(B175="AR",Inputs!$B$14,IF(B175="AD",Inputs!$B$15,Inputs!$B$16))</f>
        <v>1</v>
      </c>
      <c r="I175" s="12"/>
      <c r="J175" s="24" t="n">
        <f aca="false">IF(I175="",H175,I175)</f>
        <v>1</v>
      </c>
      <c r="K175" s="12"/>
      <c r="L175" s="24" t="n">
        <f aca="false">IF(K175="",Inputs!$B$20,K175)</f>
        <v>0.5</v>
      </c>
      <c r="M175" s="25" t="n">
        <f aca="false">IF(B175="AR",SQRT(Inputs!$B$9*F175/J175),IF(B175="AD",Inputs!$B$9*F175/(2*J175),2*Inputs!$B$9*F175/J175))</f>
        <v>0.00470090743184764</v>
      </c>
      <c r="N175" s="25" t="n">
        <f aca="false">IF(B175="AR",IF(Inputs!$B$25=0,SQRT(Inputs!$B$8*F175/J175),(-Inputs!$B$25+SQRT(Inputs!$B$25^2+4*(1-Inputs!$B$25)*Inputs!$B$8*F175/J175))/(2*(1-Inputs!$B$25))),IF(B175="AD",Inputs!$B$8*F175/(2*J175),2*Inputs!$B$8*F175/J175))</f>
        <v>0.00416319359719033</v>
      </c>
      <c r="O175" s="25" t="n">
        <f aca="false">MIN(Inputs!$B$26,M175*L175)</f>
        <v>0.00235045371592382</v>
      </c>
      <c r="P175" s="25" t="n">
        <f aca="false">MIN(Inputs!$B$26,O175*Inputs!$B$19)</f>
        <v>0.0235045371592382</v>
      </c>
      <c r="Q175" s="25" t="n">
        <f aca="false">MIN(O175,N175*Inputs!$B$21)</f>
        <v>0.000208159679859516</v>
      </c>
      <c r="R175" s="26"/>
      <c r="S175" s="26"/>
      <c r="T175" s="26"/>
      <c r="U175" s="20" t="str">
        <f aca="false">IF(COUNT(R175:T175)&gt;0,"Published spec (+calc where blank)","Calculated (this workbook)")</f>
        <v>Calculated (this workbook)</v>
      </c>
      <c r="V175" s="28" t="n">
        <f aca="false">IF(R175="",MAX(P175,W175),R175)</f>
        <v>0.0235045371592382</v>
      </c>
      <c r="W175" s="28" t="n">
        <f aca="false">IF(S175="",O175,S175)</f>
        <v>0.00235045371592382</v>
      </c>
      <c r="X175" s="28" t="n">
        <f aca="false">IF(T175="",Q175,T175)</f>
        <v>0.000208159679859516</v>
      </c>
      <c r="Y175" s="20" t="str">
        <f aca="false">IF(S175="","",IF(O175&lt;S175,"Calc STRICTER (lower)","Calc more lenient (higher)"))</f>
        <v/>
      </c>
      <c r="Z175" s="20" t="str">
        <f aca="false">IF(B175="XL","Hemizygous male AF (grpmax)","grpmax FAF95; check SAS, IndiGen, GenomeIndia")</f>
        <v>grpmax FAF95; check SAS, IndiGen, GenomeIndia</v>
      </c>
      <c r="AA175" s="20"/>
      <c r="AB175" s="20"/>
    </row>
    <row r="176" customFormat="false" ht="15" hidden="false" customHeight="false" outlineLevel="0" collapsed="false">
      <c r="A176" s="19" t="s">
        <v>331</v>
      </c>
      <c r="B176" s="20" t="s">
        <v>96</v>
      </c>
      <c r="C176" s="20" t="s">
        <v>105</v>
      </c>
      <c r="D176" s="21" t="n">
        <f aca="false">SUMIF(Indian_Gene_Shares!$B$5:$B$47,A176,Indian_Gene_Shares!$G$5:$G$47)</f>
        <v>0</v>
      </c>
      <c r="E176" s="9" t="n">
        <f aca="false">IFERROR(INDEX(ARIDE_Cohort!$C$6:$C$207,MATCH(A176,ARIDE_Cohort!$A$6:$A$207,0)),0)</f>
        <v>0</v>
      </c>
      <c r="F176" s="22" t="n">
        <f aca="false">MAX(Inputs!$B$24,IF(AND(Inputs!$B$29="ARIDE cohort",ARIDE_Cohort!$B$3&gt;=Inputs!$B$30),E176,D176))</f>
        <v>0.01</v>
      </c>
      <c r="G176" s="20" t="str">
        <f aca="false">IF(AND(Inputs!$B$29="ARIDE cohort",ARIDE_Cohort!$B$3&gt;=Inputs!$B$30),IF(E176&gt;Inputs!$B$24,"ARIDE cohort","Floor (ARIDE share below floor)"),IF(D176&gt;Inputs!$B$24,"Indian literature",IF(D176&gt;0,"Floor (Indian share below floor)","Floor (no Indian data)")))</f>
        <v>Floor (no Indian data)</v>
      </c>
      <c r="H176" s="23" t="n">
        <f aca="false">IF(B176="AR",Inputs!$B$14,IF(B176="AD",Inputs!$B$15,Inputs!$B$16))</f>
        <v>1</v>
      </c>
      <c r="I176" s="12"/>
      <c r="J176" s="24" t="n">
        <f aca="false">IF(I176="",H176,I176)</f>
        <v>1</v>
      </c>
      <c r="K176" s="12"/>
      <c r="L176" s="24" t="n">
        <f aca="false">IF(K176="",Inputs!$B$20,K176)</f>
        <v>0.5</v>
      </c>
      <c r="M176" s="25" t="n">
        <f aca="false">IF(B176="AR",SQRT(Inputs!$B$9*F176/J176),IF(B176="AD",Inputs!$B$9*F176/(2*J176),2*Inputs!$B$9*F176/J176))</f>
        <v>0.00470090743184764</v>
      </c>
      <c r="N176" s="25" t="n">
        <f aca="false">IF(B176="AR",IF(Inputs!$B$25=0,SQRT(Inputs!$B$8*F176/J176),(-Inputs!$B$25+SQRT(Inputs!$B$25^2+4*(1-Inputs!$B$25)*Inputs!$B$8*F176/J176))/(2*(1-Inputs!$B$25))),IF(B176="AD",Inputs!$B$8*F176/(2*J176),2*Inputs!$B$8*F176/J176))</f>
        <v>0.00416319359719033</v>
      </c>
      <c r="O176" s="25" t="n">
        <f aca="false">MIN(Inputs!$B$26,M176*L176)</f>
        <v>0.00235045371592382</v>
      </c>
      <c r="P176" s="25" t="n">
        <f aca="false">MIN(Inputs!$B$26,O176*Inputs!$B$19)</f>
        <v>0.0235045371592382</v>
      </c>
      <c r="Q176" s="25" t="n">
        <f aca="false">MIN(O176,N176*Inputs!$B$21)</f>
        <v>0.000208159679859516</v>
      </c>
      <c r="R176" s="26"/>
      <c r="S176" s="26"/>
      <c r="T176" s="26"/>
      <c r="U176" s="20" t="str">
        <f aca="false">IF(COUNT(R176:T176)&gt;0,"Published spec (+calc where blank)","Calculated (this workbook)")</f>
        <v>Calculated (this workbook)</v>
      </c>
      <c r="V176" s="28" t="n">
        <f aca="false">IF(R176="",MAX(P176,W176),R176)</f>
        <v>0.0235045371592382</v>
      </c>
      <c r="W176" s="28" t="n">
        <f aca="false">IF(S176="",O176,S176)</f>
        <v>0.00235045371592382</v>
      </c>
      <c r="X176" s="28" t="n">
        <f aca="false">IF(T176="",Q176,T176)</f>
        <v>0.000208159679859516</v>
      </c>
      <c r="Y176" s="20" t="str">
        <f aca="false">IF(S176="","",IF(O176&lt;S176,"Calc STRICTER (lower)","Calc more lenient (higher)"))</f>
        <v/>
      </c>
      <c r="Z176" s="20" t="str">
        <f aca="false">IF(B176="XL","Hemizygous male AF (grpmax)","grpmax FAF95; check SAS, IndiGen, GenomeIndia")</f>
        <v>grpmax FAF95; check SAS, IndiGen, GenomeIndia</v>
      </c>
      <c r="AA176" s="20"/>
      <c r="AB176" s="20"/>
    </row>
    <row r="177" customFormat="false" ht="15" hidden="false" customHeight="false" outlineLevel="0" collapsed="false">
      <c r="A177" s="19" t="s">
        <v>332</v>
      </c>
      <c r="B177" s="20" t="s">
        <v>96</v>
      </c>
      <c r="C177" s="20" t="s">
        <v>333</v>
      </c>
      <c r="D177" s="21" t="n">
        <f aca="false">SUMIF(Indian_Gene_Shares!$B$5:$B$47,A177,Indian_Gene_Shares!$G$5:$G$47)</f>
        <v>0.0269248670212766</v>
      </c>
      <c r="E177" s="9" t="n">
        <f aca="false">IFERROR(INDEX(ARIDE_Cohort!$C$6:$C$207,MATCH(A177,ARIDE_Cohort!$A$6:$A$207,0)),0)</f>
        <v>0</v>
      </c>
      <c r="F177" s="22" t="n">
        <f aca="false">MAX(Inputs!$B$24,IF(AND(Inputs!$B$29="ARIDE cohort",ARIDE_Cohort!$B$3&gt;=Inputs!$B$30),E177,D177))</f>
        <v>0.0269248670212766</v>
      </c>
      <c r="G177" s="20" t="str">
        <f aca="false">IF(AND(Inputs!$B$29="ARIDE cohort",ARIDE_Cohort!$B$3&gt;=Inputs!$B$30),IF(E177&gt;Inputs!$B$24,"ARIDE cohort","Floor (ARIDE share below floor)"),IF(D177&gt;Inputs!$B$24,"Indian literature",IF(D177&gt;0,"Floor (Indian share below floor)","Floor (no Indian data)")))</f>
        <v>Indian literature</v>
      </c>
      <c r="H177" s="23" t="n">
        <f aca="false">IF(B177="AR",Inputs!$B$14,IF(B177="AD",Inputs!$B$15,Inputs!$B$16))</f>
        <v>1</v>
      </c>
      <c r="I177" s="12"/>
      <c r="J177" s="24" t="n">
        <f aca="false">IF(I177="",H177,I177)</f>
        <v>1</v>
      </c>
      <c r="K177" s="12"/>
      <c r="L177" s="24" t="n">
        <f aca="false">IF(K177="",Inputs!$B$20,K177)</f>
        <v>0.5</v>
      </c>
      <c r="M177" s="25" t="n">
        <f aca="false">IF(B177="AR",SQRT(Inputs!$B$9*F177/J177),IF(B177="AD",Inputs!$B$9*F177/(2*J177),2*Inputs!$B$9*F177/J177))</f>
        <v>0.00771362431027076</v>
      </c>
      <c r="N177" s="25" t="n">
        <f aca="false">IF(B177="AR",IF(Inputs!$B$25=0,SQRT(Inputs!$B$8*F177/J177),(-Inputs!$B$25+SQRT(Inputs!$B$25^2+4*(1-Inputs!$B$25)*Inputs!$B$8*F177/J177))/(2*(1-Inputs!$B$25))),IF(B177="AD",Inputs!$B$8*F177/(2*J177),2*Inputs!$B$8*F177/J177))</f>
        <v>0.00683130051063973</v>
      </c>
      <c r="O177" s="25" t="n">
        <f aca="false">MIN(Inputs!$B$26,M177*L177)</f>
        <v>0.00385681215513538</v>
      </c>
      <c r="P177" s="25" t="n">
        <f aca="false">MIN(Inputs!$B$26,O177*Inputs!$B$19)</f>
        <v>0.0385681215513538</v>
      </c>
      <c r="Q177" s="25" t="n">
        <f aca="false">MIN(O177,N177*Inputs!$B$21)</f>
        <v>0.000341565025531987</v>
      </c>
      <c r="R177" s="26"/>
      <c r="S177" s="26"/>
      <c r="T177" s="26"/>
      <c r="U177" s="20" t="str">
        <f aca="false">IF(COUNT(R177:T177)&gt;0,"Published spec (+calc where blank)","Calculated (this workbook)")</f>
        <v>Calculated (this workbook)</v>
      </c>
      <c r="V177" s="28" t="n">
        <f aca="false">IF(R177="",MAX(P177,W177),R177)</f>
        <v>0.0385681215513538</v>
      </c>
      <c r="W177" s="28" t="n">
        <f aca="false">IF(S177="",O177,S177)</f>
        <v>0.00385681215513538</v>
      </c>
      <c r="X177" s="28" t="n">
        <f aca="false">IF(T177="",Q177,T177)</f>
        <v>0.000341565025531987</v>
      </c>
      <c r="Y177" s="20" t="str">
        <f aca="false">IF(S177="","",IF(O177&lt;S177,"Calc STRICTER (lower)","Calc more lenient (higher)"))</f>
        <v/>
      </c>
      <c r="Z177" s="20" t="str">
        <f aca="false">IF(B177="XL","Hemizygous male AF (grpmax)","grpmax FAF95; check SAS, IndiGen, GenomeIndia")</f>
        <v>grpmax FAF95; check SAS, IndiGen, GenomeIndia</v>
      </c>
      <c r="AA177" s="20"/>
      <c r="AB177" s="20"/>
    </row>
    <row r="178" customFormat="false" ht="15" hidden="false" customHeight="false" outlineLevel="0" collapsed="false">
      <c r="A178" s="19" t="s">
        <v>332</v>
      </c>
      <c r="B178" s="20" t="s">
        <v>109</v>
      </c>
      <c r="C178" s="20" t="s">
        <v>105</v>
      </c>
      <c r="D178" s="21" t="n">
        <f aca="false">SUMIF(Indian_Gene_Shares!$B$5:$B$47,A178,Indian_Gene_Shares!$G$5:$G$47)</f>
        <v>0.0269248670212766</v>
      </c>
      <c r="E178" s="9" t="n">
        <f aca="false">IFERROR(INDEX(ARIDE_Cohort!$C$6:$C$207,MATCH(A178,ARIDE_Cohort!$A$6:$A$207,0)),0)</f>
        <v>0</v>
      </c>
      <c r="F178" s="22" t="n">
        <f aca="false">MAX(Inputs!$B$24,IF(AND(Inputs!$B$29="ARIDE cohort",ARIDE_Cohort!$B$3&gt;=Inputs!$B$30),E178,D178))</f>
        <v>0.0269248670212766</v>
      </c>
      <c r="G178" s="20" t="str">
        <f aca="false">IF(AND(Inputs!$B$29="ARIDE cohort",ARIDE_Cohort!$B$3&gt;=Inputs!$B$30),IF(E178&gt;Inputs!$B$24,"ARIDE cohort","Floor (ARIDE share below floor)"),IF(D178&gt;Inputs!$B$24,"Indian literature",IF(D178&gt;0,"Floor (Indian share below floor)","Floor (no Indian data)")))</f>
        <v>Indian literature</v>
      </c>
      <c r="H178" s="23" t="n">
        <f aca="false">IF(B178="AR",Inputs!$B$14,IF(B178="AD",Inputs!$B$15,Inputs!$B$16))</f>
        <v>0.5</v>
      </c>
      <c r="I178" s="12"/>
      <c r="J178" s="24" t="n">
        <f aca="false">IF(I178="",H178,I178)</f>
        <v>0.5</v>
      </c>
      <c r="K178" s="12"/>
      <c r="L178" s="24" t="n">
        <f aca="false">IF(K178="",Inputs!$B$20,K178)</f>
        <v>0.5</v>
      </c>
      <c r="M178" s="25" t="n">
        <f aca="false">IF(B178="AR",SQRT(Inputs!$B$9*F178/J178),IF(B178="AD",Inputs!$B$9*F178/(2*J178),2*Inputs!$B$9*F178/J178))</f>
        <v>5.95E-005</v>
      </c>
      <c r="N178" s="25" t="n">
        <f aca="false">IF(B178="AR",IF(Inputs!$B$25=0,SQRT(Inputs!$B$8*F178/J178),(-Inputs!$B$25+SQRT(Inputs!$B$25^2+4*(1-Inputs!$B$25)*Inputs!$B$8*F178/J178))/(2*(1-Inputs!$B$25))),IF(B178="AD",Inputs!$B$8*F178/(2*J178),2*Inputs!$B$8*F178/J178))</f>
        <v>4.66666666666667E-005</v>
      </c>
      <c r="O178" s="25" t="n">
        <f aca="false">MIN(Inputs!$B$26,M178*L178)</f>
        <v>2.975E-005</v>
      </c>
      <c r="P178" s="25" t="n">
        <f aca="false">MIN(Inputs!$B$26,O178*Inputs!$B$19)</f>
        <v>0.0002975</v>
      </c>
      <c r="Q178" s="25" t="n">
        <f aca="false">MIN(O178,N178*Inputs!$B$21)</f>
        <v>2.33333333333333E-006</v>
      </c>
      <c r="R178" s="26"/>
      <c r="S178" s="26"/>
      <c r="T178" s="26"/>
      <c r="U178" s="20" t="str">
        <f aca="false">IF(COUNT(R178:T178)&gt;0,"Published spec (+calc where blank)","Calculated (this workbook)")</f>
        <v>Calculated (this workbook)</v>
      </c>
      <c r="V178" s="28" t="n">
        <f aca="false">IF(R178="",MAX(P178,W178),R178)</f>
        <v>0.0002975</v>
      </c>
      <c r="W178" s="28" t="n">
        <f aca="false">IF(S178="",O178,S178)</f>
        <v>2.975E-005</v>
      </c>
      <c r="X178" s="28" t="n">
        <f aca="false">IF(T178="",Q178,T178)</f>
        <v>2.33333333333333E-006</v>
      </c>
      <c r="Y178" s="20" t="str">
        <f aca="false">IF(S178="","",IF(O178&lt;S178,"Calc STRICTER (lower)","Calc more lenient (higher)"))</f>
        <v/>
      </c>
      <c r="Z178" s="20" t="str">
        <f aca="false">IF(B178="XL","Hemizygous male AF (grpmax)","grpmax FAF95; check SAS, IndiGen, GenomeIndia")</f>
        <v>grpmax FAF95; check SAS, IndiGen, GenomeIndia</v>
      </c>
      <c r="AA178" s="20"/>
      <c r="AB178" s="20"/>
    </row>
    <row r="179" customFormat="false" ht="15" hidden="false" customHeight="false" outlineLevel="0" collapsed="false">
      <c r="A179" s="19" t="s">
        <v>334</v>
      </c>
      <c r="B179" s="20" t="s">
        <v>96</v>
      </c>
      <c r="C179" s="20" t="s">
        <v>335</v>
      </c>
      <c r="D179" s="21" t="n">
        <f aca="false">SUMIF(Indian_Gene_Shares!$B$5:$B$47,A179,Indian_Gene_Shares!$G$5:$G$47)</f>
        <v>0</v>
      </c>
      <c r="E179" s="9" t="n">
        <f aca="false">IFERROR(INDEX(ARIDE_Cohort!$C$6:$C$207,MATCH(A179,ARIDE_Cohort!$A$6:$A$207,0)),0)</f>
        <v>0</v>
      </c>
      <c r="F179" s="22" t="n">
        <f aca="false">MAX(Inputs!$B$24,IF(AND(Inputs!$B$29="ARIDE cohort",ARIDE_Cohort!$B$3&gt;=Inputs!$B$30),E179,D179))</f>
        <v>0.01</v>
      </c>
      <c r="G179" s="20" t="str">
        <f aca="false">IF(AND(Inputs!$B$29="ARIDE cohort",ARIDE_Cohort!$B$3&gt;=Inputs!$B$30),IF(E179&gt;Inputs!$B$24,"ARIDE cohort","Floor (ARIDE share below floor)"),IF(D179&gt;Inputs!$B$24,"Indian literature",IF(D179&gt;0,"Floor (Indian share below floor)","Floor (no Indian data)")))</f>
        <v>Floor (no Indian data)</v>
      </c>
      <c r="H179" s="23" t="n">
        <f aca="false">IF(B179="AR",Inputs!$B$14,IF(B179="AD",Inputs!$B$15,Inputs!$B$16))</f>
        <v>1</v>
      </c>
      <c r="I179" s="12"/>
      <c r="J179" s="24" t="n">
        <f aca="false">IF(I179="",H179,I179)</f>
        <v>1</v>
      </c>
      <c r="K179" s="12"/>
      <c r="L179" s="24" t="n">
        <f aca="false">IF(K179="",Inputs!$B$20,K179)</f>
        <v>0.5</v>
      </c>
      <c r="M179" s="25" t="n">
        <f aca="false">IF(B179="AR",SQRT(Inputs!$B$9*F179/J179),IF(B179="AD",Inputs!$B$9*F179/(2*J179),2*Inputs!$B$9*F179/J179))</f>
        <v>0.00470090743184764</v>
      </c>
      <c r="N179" s="25" t="n">
        <f aca="false">IF(B179="AR",IF(Inputs!$B$25=0,SQRT(Inputs!$B$8*F179/J179),(-Inputs!$B$25+SQRT(Inputs!$B$25^2+4*(1-Inputs!$B$25)*Inputs!$B$8*F179/J179))/(2*(1-Inputs!$B$25))),IF(B179="AD",Inputs!$B$8*F179/(2*J179),2*Inputs!$B$8*F179/J179))</f>
        <v>0.00416319359719033</v>
      </c>
      <c r="O179" s="25" t="n">
        <f aca="false">MIN(Inputs!$B$26,M179*L179)</f>
        <v>0.00235045371592382</v>
      </c>
      <c r="P179" s="25" t="n">
        <f aca="false">MIN(Inputs!$B$26,O179*Inputs!$B$19)</f>
        <v>0.0235045371592382</v>
      </c>
      <c r="Q179" s="25" t="n">
        <f aca="false">MIN(O179,N179*Inputs!$B$21)</f>
        <v>0.000208159679859516</v>
      </c>
      <c r="R179" s="26"/>
      <c r="S179" s="26"/>
      <c r="T179" s="26"/>
      <c r="U179" s="20" t="str">
        <f aca="false">IF(COUNT(R179:T179)&gt;0,"Published spec (+calc where blank)","Calculated (this workbook)")</f>
        <v>Calculated (this workbook)</v>
      </c>
      <c r="V179" s="28" t="n">
        <f aca="false">IF(R179="",MAX(P179,W179),R179)</f>
        <v>0.0235045371592382</v>
      </c>
      <c r="W179" s="28" t="n">
        <f aca="false">IF(S179="",O179,S179)</f>
        <v>0.00235045371592382</v>
      </c>
      <c r="X179" s="28" t="n">
        <f aca="false">IF(T179="",Q179,T179)</f>
        <v>0.000208159679859516</v>
      </c>
      <c r="Y179" s="20" t="str">
        <f aca="false">IF(S179="","",IF(O179&lt;S179,"Calc STRICTER (lower)","Calc more lenient (higher)"))</f>
        <v/>
      </c>
      <c r="Z179" s="20" t="str">
        <f aca="false">IF(B179="XL","Hemizygous male AF (grpmax)","grpmax FAF95; check SAS, IndiGen, GenomeIndia")</f>
        <v>grpmax FAF95; check SAS, IndiGen, GenomeIndia</v>
      </c>
      <c r="AA179" s="20"/>
      <c r="AB179" s="20"/>
    </row>
    <row r="180" customFormat="false" ht="15" hidden="false" customHeight="false" outlineLevel="0" collapsed="false">
      <c r="A180" s="19" t="s">
        <v>336</v>
      </c>
      <c r="B180" s="20" t="s">
        <v>96</v>
      </c>
      <c r="C180" s="20" t="s">
        <v>105</v>
      </c>
      <c r="D180" s="21" t="n">
        <f aca="false">SUMIF(Indian_Gene_Shares!$B$5:$B$47,A180,Indian_Gene_Shares!$G$5:$G$47)</f>
        <v>0</v>
      </c>
      <c r="E180" s="9" t="n">
        <f aca="false">IFERROR(INDEX(ARIDE_Cohort!$C$6:$C$207,MATCH(A180,ARIDE_Cohort!$A$6:$A$207,0)),0)</f>
        <v>0</v>
      </c>
      <c r="F180" s="22" t="n">
        <f aca="false">MAX(Inputs!$B$24,IF(AND(Inputs!$B$29="ARIDE cohort",ARIDE_Cohort!$B$3&gt;=Inputs!$B$30),E180,D180))</f>
        <v>0.01</v>
      </c>
      <c r="G180" s="20" t="str">
        <f aca="false">IF(AND(Inputs!$B$29="ARIDE cohort",ARIDE_Cohort!$B$3&gt;=Inputs!$B$30),IF(E180&gt;Inputs!$B$24,"ARIDE cohort","Floor (ARIDE share below floor)"),IF(D180&gt;Inputs!$B$24,"Indian literature",IF(D180&gt;0,"Floor (Indian share below floor)","Floor (no Indian data)")))</f>
        <v>Floor (no Indian data)</v>
      </c>
      <c r="H180" s="23" t="n">
        <f aca="false">IF(B180="AR",Inputs!$B$14,IF(B180="AD",Inputs!$B$15,Inputs!$B$16))</f>
        <v>1</v>
      </c>
      <c r="I180" s="12"/>
      <c r="J180" s="24" t="n">
        <f aca="false">IF(I180="",H180,I180)</f>
        <v>1</v>
      </c>
      <c r="K180" s="12"/>
      <c r="L180" s="24" t="n">
        <f aca="false">IF(K180="",Inputs!$B$20,K180)</f>
        <v>0.5</v>
      </c>
      <c r="M180" s="25" t="n">
        <f aca="false">IF(B180="AR",SQRT(Inputs!$B$9*F180/J180),IF(B180="AD",Inputs!$B$9*F180/(2*J180),2*Inputs!$B$9*F180/J180))</f>
        <v>0.00470090743184764</v>
      </c>
      <c r="N180" s="25" t="n">
        <f aca="false">IF(B180="AR",IF(Inputs!$B$25=0,SQRT(Inputs!$B$8*F180/J180),(-Inputs!$B$25+SQRT(Inputs!$B$25^2+4*(1-Inputs!$B$25)*Inputs!$B$8*F180/J180))/(2*(1-Inputs!$B$25))),IF(B180="AD",Inputs!$B$8*F180/(2*J180),2*Inputs!$B$8*F180/J180))</f>
        <v>0.00416319359719033</v>
      </c>
      <c r="O180" s="25" t="n">
        <f aca="false">MIN(Inputs!$B$26,M180*L180)</f>
        <v>0.00235045371592382</v>
      </c>
      <c r="P180" s="25" t="n">
        <f aca="false">MIN(Inputs!$B$26,O180*Inputs!$B$19)</f>
        <v>0.0235045371592382</v>
      </c>
      <c r="Q180" s="25" t="n">
        <f aca="false">MIN(O180,N180*Inputs!$B$21)</f>
        <v>0.000208159679859516</v>
      </c>
      <c r="R180" s="26"/>
      <c r="S180" s="26"/>
      <c r="T180" s="26"/>
      <c r="U180" s="20" t="str">
        <f aca="false">IF(COUNT(R180:T180)&gt;0,"Published spec (+calc where blank)","Calculated (this workbook)")</f>
        <v>Calculated (this workbook)</v>
      </c>
      <c r="V180" s="28" t="n">
        <f aca="false">IF(R180="",MAX(P180,W180),R180)</f>
        <v>0.0235045371592382</v>
      </c>
      <c r="W180" s="28" t="n">
        <f aca="false">IF(S180="",O180,S180)</f>
        <v>0.00235045371592382</v>
      </c>
      <c r="X180" s="28" t="n">
        <f aca="false">IF(T180="",Q180,T180)</f>
        <v>0.000208159679859516</v>
      </c>
      <c r="Y180" s="20" t="str">
        <f aca="false">IF(S180="","",IF(O180&lt;S180,"Calc STRICTER (lower)","Calc more lenient (higher)"))</f>
        <v/>
      </c>
      <c r="Z180" s="20" t="str">
        <f aca="false">IF(B180="XL","Hemizygous male AF (grpmax)","grpmax FAF95; check SAS, IndiGen, GenomeIndia")</f>
        <v>grpmax FAF95; check SAS, IndiGen, GenomeIndia</v>
      </c>
      <c r="AA180" s="20"/>
      <c r="AB180" s="20"/>
    </row>
    <row r="181" customFormat="false" ht="15" hidden="false" customHeight="false" outlineLevel="0" collapsed="false">
      <c r="A181" s="19" t="s">
        <v>337</v>
      </c>
      <c r="B181" s="20" t="s">
        <v>96</v>
      </c>
      <c r="C181" s="20" t="s">
        <v>105</v>
      </c>
      <c r="D181" s="21" t="n">
        <f aca="false">SUMIF(Indian_Gene_Shares!$B$5:$B$47,A181,Indian_Gene_Shares!$G$5:$G$47)</f>
        <v>0</v>
      </c>
      <c r="E181" s="9" t="n">
        <f aca="false">IFERROR(INDEX(ARIDE_Cohort!$C$6:$C$207,MATCH(A181,ARIDE_Cohort!$A$6:$A$207,0)),0)</f>
        <v>0</v>
      </c>
      <c r="F181" s="22" t="n">
        <f aca="false">MAX(Inputs!$B$24,IF(AND(Inputs!$B$29="ARIDE cohort",ARIDE_Cohort!$B$3&gt;=Inputs!$B$30),E181,D181))</f>
        <v>0.01</v>
      </c>
      <c r="G181" s="20" t="str">
        <f aca="false">IF(AND(Inputs!$B$29="ARIDE cohort",ARIDE_Cohort!$B$3&gt;=Inputs!$B$30),IF(E181&gt;Inputs!$B$24,"ARIDE cohort","Floor (ARIDE share below floor)"),IF(D181&gt;Inputs!$B$24,"Indian literature",IF(D181&gt;0,"Floor (Indian share below floor)","Floor (no Indian data)")))</f>
        <v>Floor (no Indian data)</v>
      </c>
      <c r="H181" s="23" t="n">
        <f aca="false">IF(B181="AR",Inputs!$B$14,IF(B181="AD",Inputs!$B$15,Inputs!$B$16))</f>
        <v>1</v>
      </c>
      <c r="I181" s="12"/>
      <c r="J181" s="24" t="n">
        <f aca="false">IF(I181="",H181,I181)</f>
        <v>1</v>
      </c>
      <c r="K181" s="12"/>
      <c r="L181" s="24" t="n">
        <f aca="false">IF(K181="",Inputs!$B$20,K181)</f>
        <v>0.5</v>
      </c>
      <c r="M181" s="25" t="n">
        <f aca="false">IF(B181="AR",SQRT(Inputs!$B$9*F181/J181),IF(B181="AD",Inputs!$B$9*F181/(2*J181),2*Inputs!$B$9*F181/J181))</f>
        <v>0.00470090743184764</v>
      </c>
      <c r="N181" s="25" t="n">
        <f aca="false">IF(B181="AR",IF(Inputs!$B$25=0,SQRT(Inputs!$B$8*F181/J181),(-Inputs!$B$25+SQRT(Inputs!$B$25^2+4*(1-Inputs!$B$25)*Inputs!$B$8*F181/J181))/(2*(1-Inputs!$B$25))),IF(B181="AD",Inputs!$B$8*F181/(2*J181),2*Inputs!$B$8*F181/J181))</f>
        <v>0.00416319359719033</v>
      </c>
      <c r="O181" s="25" t="n">
        <f aca="false">MIN(Inputs!$B$26,M181*L181)</f>
        <v>0.00235045371592382</v>
      </c>
      <c r="P181" s="25" t="n">
        <f aca="false">MIN(Inputs!$B$26,O181*Inputs!$B$19)</f>
        <v>0.0235045371592382</v>
      </c>
      <c r="Q181" s="25" t="n">
        <f aca="false">MIN(O181,N181*Inputs!$B$21)</f>
        <v>0.000208159679859516</v>
      </c>
      <c r="R181" s="26"/>
      <c r="S181" s="26"/>
      <c r="T181" s="26"/>
      <c r="U181" s="20" t="str">
        <f aca="false">IF(COUNT(R181:T181)&gt;0,"Published spec (+calc where blank)","Calculated (this workbook)")</f>
        <v>Calculated (this workbook)</v>
      </c>
      <c r="V181" s="28" t="n">
        <f aca="false">IF(R181="",MAX(P181,W181),R181)</f>
        <v>0.0235045371592382</v>
      </c>
      <c r="W181" s="28" t="n">
        <f aca="false">IF(S181="",O181,S181)</f>
        <v>0.00235045371592382</v>
      </c>
      <c r="X181" s="28" t="n">
        <f aca="false">IF(T181="",Q181,T181)</f>
        <v>0.000208159679859516</v>
      </c>
      <c r="Y181" s="20" t="str">
        <f aca="false">IF(S181="","",IF(O181&lt;S181,"Calc STRICTER (lower)","Calc more lenient (higher)"))</f>
        <v/>
      </c>
      <c r="Z181" s="20" t="str">
        <f aca="false">IF(B181="XL","Hemizygous male AF (grpmax)","grpmax FAF95; check SAS, IndiGen, GenomeIndia")</f>
        <v>grpmax FAF95; check SAS, IndiGen, GenomeIndia</v>
      </c>
      <c r="AA181" s="20"/>
      <c r="AB181" s="20"/>
    </row>
    <row r="182" customFormat="false" ht="15" hidden="false" customHeight="false" outlineLevel="0" collapsed="false">
      <c r="A182" s="19" t="s">
        <v>338</v>
      </c>
      <c r="B182" s="20" t="s">
        <v>96</v>
      </c>
      <c r="C182" s="20" t="s">
        <v>339</v>
      </c>
      <c r="D182" s="21" t="n">
        <f aca="false">SUMIF(Indian_Gene_Shares!$B$5:$B$47,A182,Indian_Gene_Shares!$G$5:$G$47)</f>
        <v>0</v>
      </c>
      <c r="E182" s="9" t="n">
        <f aca="false">IFERROR(INDEX(ARIDE_Cohort!$C$6:$C$207,MATCH(A182,ARIDE_Cohort!$A$6:$A$207,0)),0)</f>
        <v>0</v>
      </c>
      <c r="F182" s="22" t="n">
        <f aca="false">MAX(Inputs!$B$24,IF(AND(Inputs!$B$29="ARIDE cohort",ARIDE_Cohort!$B$3&gt;=Inputs!$B$30),E182,D182))</f>
        <v>0.01</v>
      </c>
      <c r="G182" s="20" t="str">
        <f aca="false">IF(AND(Inputs!$B$29="ARIDE cohort",ARIDE_Cohort!$B$3&gt;=Inputs!$B$30),IF(E182&gt;Inputs!$B$24,"ARIDE cohort","Floor (ARIDE share below floor)"),IF(D182&gt;Inputs!$B$24,"Indian literature",IF(D182&gt;0,"Floor (Indian share below floor)","Floor (no Indian data)")))</f>
        <v>Floor (no Indian data)</v>
      </c>
      <c r="H182" s="23" t="n">
        <f aca="false">IF(B182="AR",Inputs!$B$14,IF(B182="AD",Inputs!$B$15,Inputs!$B$16))</f>
        <v>1</v>
      </c>
      <c r="I182" s="12"/>
      <c r="J182" s="24" t="n">
        <f aca="false">IF(I182="",H182,I182)</f>
        <v>1</v>
      </c>
      <c r="K182" s="12"/>
      <c r="L182" s="24" t="n">
        <f aca="false">IF(K182="",Inputs!$B$20,K182)</f>
        <v>0.5</v>
      </c>
      <c r="M182" s="25" t="n">
        <f aca="false">IF(B182="AR",SQRT(Inputs!$B$9*F182/J182),IF(B182="AD",Inputs!$B$9*F182/(2*J182),2*Inputs!$B$9*F182/J182))</f>
        <v>0.00470090743184764</v>
      </c>
      <c r="N182" s="25" t="n">
        <f aca="false">IF(B182="AR",IF(Inputs!$B$25=0,SQRT(Inputs!$B$8*F182/J182),(-Inputs!$B$25+SQRT(Inputs!$B$25^2+4*(1-Inputs!$B$25)*Inputs!$B$8*F182/J182))/(2*(1-Inputs!$B$25))),IF(B182="AD",Inputs!$B$8*F182/(2*J182),2*Inputs!$B$8*F182/J182))</f>
        <v>0.00416319359719033</v>
      </c>
      <c r="O182" s="25" t="n">
        <f aca="false">MIN(Inputs!$B$26,M182*L182)</f>
        <v>0.00235045371592382</v>
      </c>
      <c r="P182" s="25" t="n">
        <f aca="false">MIN(Inputs!$B$26,O182*Inputs!$B$19)</f>
        <v>0.0235045371592382</v>
      </c>
      <c r="Q182" s="25" t="n">
        <f aca="false">MIN(O182,N182*Inputs!$B$21)</f>
        <v>0.000208159679859516</v>
      </c>
      <c r="R182" s="26"/>
      <c r="S182" s="26"/>
      <c r="T182" s="26"/>
      <c r="U182" s="20" t="str">
        <f aca="false">IF(COUNT(R182:T182)&gt;0,"Published spec (+calc where blank)","Calculated (this workbook)")</f>
        <v>Calculated (this workbook)</v>
      </c>
      <c r="V182" s="28" t="n">
        <f aca="false">IF(R182="",MAX(P182,W182),R182)</f>
        <v>0.0235045371592382</v>
      </c>
      <c r="W182" s="28" t="n">
        <f aca="false">IF(S182="",O182,S182)</f>
        <v>0.00235045371592382</v>
      </c>
      <c r="X182" s="28" t="n">
        <f aca="false">IF(T182="",Q182,T182)</f>
        <v>0.000208159679859516</v>
      </c>
      <c r="Y182" s="20" t="str">
        <f aca="false">IF(S182="","",IF(O182&lt;S182,"Calc STRICTER (lower)","Calc more lenient (higher)"))</f>
        <v/>
      </c>
      <c r="Z182" s="20" t="str">
        <f aca="false">IF(B182="XL","Hemizygous male AF (grpmax)","grpmax FAF95; check SAS, IndiGen, GenomeIndia")</f>
        <v>grpmax FAF95; check SAS, IndiGen, GenomeIndia</v>
      </c>
      <c r="AA182" s="20"/>
      <c r="AB182" s="20"/>
    </row>
    <row r="183" customFormat="false" ht="15" hidden="false" customHeight="false" outlineLevel="0" collapsed="false">
      <c r="A183" s="19" t="s">
        <v>340</v>
      </c>
      <c r="B183" s="20" t="s">
        <v>96</v>
      </c>
      <c r="C183" s="20" t="s">
        <v>339</v>
      </c>
      <c r="D183" s="21" t="n">
        <f aca="false">SUMIF(Indian_Gene_Shares!$B$5:$B$47,A183,Indian_Gene_Shares!$G$5:$G$47)</f>
        <v>0</v>
      </c>
      <c r="E183" s="9" t="n">
        <f aca="false">IFERROR(INDEX(ARIDE_Cohort!$C$6:$C$207,MATCH(A183,ARIDE_Cohort!$A$6:$A$207,0)),0)</f>
        <v>0</v>
      </c>
      <c r="F183" s="22" t="n">
        <f aca="false">MAX(Inputs!$B$24,IF(AND(Inputs!$B$29="ARIDE cohort",ARIDE_Cohort!$B$3&gt;=Inputs!$B$30),E183,D183))</f>
        <v>0.01</v>
      </c>
      <c r="G183" s="20" t="str">
        <f aca="false">IF(AND(Inputs!$B$29="ARIDE cohort",ARIDE_Cohort!$B$3&gt;=Inputs!$B$30),IF(E183&gt;Inputs!$B$24,"ARIDE cohort","Floor (ARIDE share below floor)"),IF(D183&gt;Inputs!$B$24,"Indian literature",IF(D183&gt;0,"Floor (Indian share below floor)","Floor (no Indian data)")))</f>
        <v>Floor (no Indian data)</v>
      </c>
      <c r="H183" s="23" t="n">
        <f aca="false">IF(B183="AR",Inputs!$B$14,IF(B183="AD",Inputs!$B$15,Inputs!$B$16))</f>
        <v>1</v>
      </c>
      <c r="I183" s="12"/>
      <c r="J183" s="24" t="n">
        <f aca="false">IF(I183="",H183,I183)</f>
        <v>1</v>
      </c>
      <c r="K183" s="12"/>
      <c r="L183" s="24" t="n">
        <f aca="false">IF(K183="",Inputs!$B$20,K183)</f>
        <v>0.5</v>
      </c>
      <c r="M183" s="25" t="n">
        <f aca="false">IF(B183="AR",SQRT(Inputs!$B$9*F183/J183),IF(B183="AD",Inputs!$B$9*F183/(2*J183),2*Inputs!$B$9*F183/J183))</f>
        <v>0.00470090743184764</v>
      </c>
      <c r="N183" s="25" t="n">
        <f aca="false">IF(B183="AR",IF(Inputs!$B$25=0,SQRT(Inputs!$B$8*F183/J183),(-Inputs!$B$25+SQRT(Inputs!$B$25^2+4*(1-Inputs!$B$25)*Inputs!$B$8*F183/J183))/(2*(1-Inputs!$B$25))),IF(B183="AD",Inputs!$B$8*F183/(2*J183),2*Inputs!$B$8*F183/J183))</f>
        <v>0.00416319359719033</v>
      </c>
      <c r="O183" s="25" t="n">
        <f aca="false">MIN(Inputs!$B$26,M183*L183)</f>
        <v>0.00235045371592382</v>
      </c>
      <c r="P183" s="25" t="n">
        <f aca="false">MIN(Inputs!$B$26,O183*Inputs!$B$19)</f>
        <v>0.0235045371592382</v>
      </c>
      <c r="Q183" s="25" t="n">
        <f aca="false">MIN(O183,N183*Inputs!$B$21)</f>
        <v>0.000208159679859516</v>
      </c>
      <c r="R183" s="26"/>
      <c r="S183" s="26"/>
      <c r="T183" s="26"/>
      <c r="U183" s="20" t="str">
        <f aca="false">IF(COUNT(R183:T183)&gt;0,"Published spec (+calc where blank)","Calculated (this workbook)")</f>
        <v>Calculated (this workbook)</v>
      </c>
      <c r="V183" s="28" t="n">
        <f aca="false">IF(R183="",MAX(P183,W183),R183)</f>
        <v>0.0235045371592382</v>
      </c>
      <c r="W183" s="28" t="n">
        <f aca="false">IF(S183="",O183,S183)</f>
        <v>0.00235045371592382</v>
      </c>
      <c r="X183" s="28" t="n">
        <f aca="false">IF(T183="",Q183,T183)</f>
        <v>0.000208159679859516</v>
      </c>
      <c r="Y183" s="20" t="str">
        <f aca="false">IF(S183="","",IF(O183&lt;S183,"Calc STRICTER (lower)","Calc more lenient (higher)"))</f>
        <v/>
      </c>
      <c r="Z183" s="20" t="str">
        <f aca="false">IF(B183="XL","Hemizygous male AF (grpmax)","grpmax FAF95; check SAS, IndiGen, GenomeIndia")</f>
        <v>grpmax FAF95; check SAS, IndiGen, GenomeIndia</v>
      </c>
      <c r="AA183" s="20"/>
      <c r="AB183" s="20"/>
    </row>
    <row r="184" customFormat="false" ht="15" hidden="false" customHeight="false" outlineLevel="0" collapsed="false">
      <c r="A184" s="19" t="s">
        <v>341</v>
      </c>
      <c r="B184" s="20" t="s">
        <v>109</v>
      </c>
      <c r="C184" s="20" t="s">
        <v>105</v>
      </c>
      <c r="D184" s="21" t="n">
        <f aca="false">SUMIF(Indian_Gene_Shares!$B$5:$B$47,A184,Indian_Gene_Shares!$G$5:$G$47)</f>
        <v>0</v>
      </c>
      <c r="E184" s="9" t="n">
        <f aca="false">IFERROR(INDEX(ARIDE_Cohort!$C$6:$C$207,MATCH(A184,ARIDE_Cohort!$A$6:$A$207,0)),0)</f>
        <v>0</v>
      </c>
      <c r="F184" s="22" t="n">
        <f aca="false">MAX(Inputs!$B$24,IF(AND(Inputs!$B$29="ARIDE cohort",ARIDE_Cohort!$B$3&gt;=Inputs!$B$30),E184,D184))</f>
        <v>0.01</v>
      </c>
      <c r="G184" s="20" t="str">
        <f aca="false">IF(AND(Inputs!$B$29="ARIDE cohort",ARIDE_Cohort!$B$3&gt;=Inputs!$B$30),IF(E184&gt;Inputs!$B$24,"ARIDE cohort","Floor (ARIDE share below floor)"),IF(D184&gt;Inputs!$B$24,"Indian literature",IF(D184&gt;0,"Floor (Indian share below floor)","Floor (no Indian data)")))</f>
        <v>Floor (no Indian data)</v>
      </c>
      <c r="H184" s="23" t="n">
        <f aca="false">IF(B184="AR",Inputs!$B$14,IF(B184="AD",Inputs!$B$15,Inputs!$B$16))</f>
        <v>0.5</v>
      </c>
      <c r="I184" s="12"/>
      <c r="J184" s="24" t="n">
        <f aca="false">IF(I184="",H184,I184)</f>
        <v>0.5</v>
      </c>
      <c r="K184" s="12"/>
      <c r="L184" s="24" t="n">
        <f aca="false">IF(K184="",Inputs!$B$20,K184)</f>
        <v>0.5</v>
      </c>
      <c r="M184" s="25" t="n">
        <f aca="false">IF(B184="AR",SQRT(Inputs!$B$9*F184/J184),IF(B184="AD",Inputs!$B$9*F184/(2*J184),2*Inputs!$B$9*F184/J184))</f>
        <v>2.20985306828003E-005</v>
      </c>
      <c r="N184" s="25" t="n">
        <f aca="false">IF(B184="AR",IF(Inputs!$B$25=0,SQRT(Inputs!$B$8*F184/J184),(-Inputs!$B$25+SQRT(Inputs!$B$25^2+4*(1-Inputs!$B$25)*Inputs!$B$8*F184/J184))/(2*(1-Inputs!$B$25))),IF(B184="AD",Inputs!$B$8*F184/(2*J184),2*Inputs!$B$8*F184/J184))</f>
        <v>1.73321809276865E-005</v>
      </c>
      <c r="O184" s="25" t="n">
        <f aca="false">MIN(Inputs!$B$26,M184*L184)</f>
        <v>1.10492653414002E-005</v>
      </c>
      <c r="P184" s="25" t="n">
        <f aca="false">MIN(Inputs!$B$26,O184*Inputs!$B$19)</f>
        <v>0.000110492653414002</v>
      </c>
      <c r="Q184" s="25" t="n">
        <f aca="false">MIN(O184,N184*Inputs!$B$21)</f>
        <v>8.66609046384327E-007</v>
      </c>
      <c r="R184" s="26"/>
      <c r="S184" s="26"/>
      <c r="T184" s="26"/>
      <c r="U184" s="20" t="str">
        <f aca="false">IF(COUNT(R184:T184)&gt;0,"Published spec (+calc where blank)","Calculated (this workbook)")</f>
        <v>Calculated (this workbook)</v>
      </c>
      <c r="V184" s="28" t="n">
        <f aca="false">IF(R184="",MAX(P184,W184),R184)</f>
        <v>0.000110492653414002</v>
      </c>
      <c r="W184" s="28" t="n">
        <f aca="false">IF(S184="",O184,S184)</f>
        <v>1.10492653414002E-005</v>
      </c>
      <c r="X184" s="28" t="n">
        <f aca="false">IF(T184="",Q184,T184)</f>
        <v>8.66609046384327E-007</v>
      </c>
      <c r="Y184" s="20" t="str">
        <f aca="false">IF(S184="","",IF(O184&lt;S184,"Calc STRICTER (lower)","Calc more lenient (higher)"))</f>
        <v/>
      </c>
      <c r="Z184" s="20" t="str">
        <f aca="false">IF(B184="XL","Hemizygous male AF (grpmax)","grpmax FAF95; check SAS, IndiGen, GenomeIndia")</f>
        <v>grpmax FAF95; check SAS, IndiGen, GenomeIndia</v>
      </c>
      <c r="AA184" s="20"/>
      <c r="AB184" s="20"/>
    </row>
    <row r="185" customFormat="false" ht="15" hidden="false" customHeight="false" outlineLevel="0" collapsed="false">
      <c r="A185" s="19" t="s">
        <v>341</v>
      </c>
      <c r="B185" s="20" t="s">
        <v>96</v>
      </c>
      <c r="C185" s="20" t="s">
        <v>105</v>
      </c>
      <c r="D185" s="21" t="n">
        <f aca="false">SUMIF(Indian_Gene_Shares!$B$5:$B$47,A185,Indian_Gene_Shares!$G$5:$G$47)</f>
        <v>0</v>
      </c>
      <c r="E185" s="9" t="n">
        <f aca="false">IFERROR(INDEX(ARIDE_Cohort!$C$6:$C$207,MATCH(A185,ARIDE_Cohort!$A$6:$A$207,0)),0)</f>
        <v>0</v>
      </c>
      <c r="F185" s="22" t="n">
        <f aca="false">MAX(Inputs!$B$24,IF(AND(Inputs!$B$29="ARIDE cohort",ARIDE_Cohort!$B$3&gt;=Inputs!$B$30),E185,D185))</f>
        <v>0.01</v>
      </c>
      <c r="G185" s="20" t="str">
        <f aca="false">IF(AND(Inputs!$B$29="ARIDE cohort",ARIDE_Cohort!$B$3&gt;=Inputs!$B$30),IF(E185&gt;Inputs!$B$24,"ARIDE cohort","Floor (ARIDE share below floor)"),IF(D185&gt;Inputs!$B$24,"Indian literature",IF(D185&gt;0,"Floor (Indian share below floor)","Floor (no Indian data)")))</f>
        <v>Floor (no Indian data)</v>
      </c>
      <c r="H185" s="23" t="n">
        <f aca="false">IF(B185="AR",Inputs!$B$14,IF(B185="AD",Inputs!$B$15,Inputs!$B$16))</f>
        <v>1</v>
      </c>
      <c r="I185" s="12"/>
      <c r="J185" s="24" t="n">
        <f aca="false">IF(I185="",H185,I185)</f>
        <v>1</v>
      </c>
      <c r="K185" s="12"/>
      <c r="L185" s="24" t="n">
        <f aca="false">IF(K185="",Inputs!$B$20,K185)</f>
        <v>0.5</v>
      </c>
      <c r="M185" s="25" t="n">
        <f aca="false">IF(B185="AR",SQRT(Inputs!$B$9*F185/J185),IF(B185="AD",Inputs!$B$9*F185/(2*J185),2*Inputs!$B$9*F185/J185))</f>
        <v>0.00470090743184764</v>
      </c>
      <c r="N185" s="25" t="n">
        <f aca="false">IF(B185="AR",IF(Inputs!$B$25=0,SQRT(Inputs!$B$8*F185/J185),(-Inputs!$B$25+SQRT(Inputs!$B$25^2+4*(1-Inputs!$B$25)*Inputs!$B$8*F185/J185))/(2*(1-Inputs!$B$25))),IF(B185="AD",Inputs!$B$8*F185/(2*J185),2*Inputs!$B$8*F185/J185))</f>
        <v>0.00416319359719033</v>
      </c>
      <c r="O185" s="25" t="n">
        <f aca="false">MIN(Inputs!$B$26,M185*L185)</f>
        <v>0.00235045371592382</v>
      </c>
      <c r="P185" s="25" t="n">
        <f aca="false">MIN(Inputs!$B$26,O185*Inputs!$B$19)</f>
        <v>0.0235045371592382</v>
      </c>
      <c r="Q185" s="25" t="n">
        <f aca="false">MIN(O185,N185*Inputs!$B$21)</f>
        <v>0.000208159679859516</v>
      </c>
      <c r="R185" s="26"/>
      <c r="S185" s="26"/>
      <c r="T185" s="26"/>
      <c r="U185" s="20" t="str">
        <f aca="false">IF(COUNT(R185:T185)&gt;0,"Published spec (+calc where blank)","Calculated (this workbook)")</f>
        <v>Calculated (this workbook)</v>
      </c>
      <c r="V185" s="28" t="n">
        <f aca="false">IF(R185="",MAX(P185,W185),R185)</f>
        <v>0.0235045371592382</v>
      </c>
      <c r="W185" s="28" t="n">
        <f aca="false">IF(S185="",O185,S185)</f>
        <v>0.00235045371592382</v>
      </c>
      <c r="X185" s="28" t="n">
        <f aca="false">IF(T185="",Q185,T185)</f>
        <v>0.000208159679859516</v>
      </c>
      <c r="Y185" s="20" t="str">
        <f aca="false">IF(S185="","",IF(O185&lt;S185,"Calc STRICTER (lower)","Calc more lenient (higher)"))</f>
        <v/>
      </c>
      <c r="Z185" s="20" t="str">
        <f aca="false">IF(B185="XL","Hemizygous male AF (grpmax)","grpmax FAF95; check SAS, IndiGen, GenomeIndia")</f>
        <v>grpmax FAF95; check SAS, IndiGen, GenomeIndia</v>
      </c>
      <c r="AA185" s="20"/>
      <c r="AB185" s="20"/>
    </row>
    <row r="186" customFormat="false" ht="15" hidden="false" customHeight="false" outlineLevel="0" collapsed="false">
      <c r="A186" s="19" t="s">
        <v>342</v>
      </c>
      <c r="B186" s="20" t="s">
        <v>109</v>
      </c>
      <c r="C186" s="20" t="s">
        <v>103</v>
      </c>
      <c r="D186" s="21" t="n">
        <f aca="false">SUMIF(Indian_Gene_Shares!$B$5:$B$47,A186,Indian_Gene_Shares!$G$5:$G$47)</f>
        <v>0</v>
      </c>
      <c r="E186" s="9" t="n">
        <f aca="false">IFERROR(INDEX(ARIDE_Cohort!$C$6:$C$207,MATCH(A186,ARIDE_Cohort!$A$6:$A$207,0)),0)</f>
        <v>0</v>
      </c>
      <c r="F186" s="22" t="n">
        <f aca="false">MAX(Inputs!$B$24,IF(AND(Inputs!$B$29="ARIDE cohort",ARIDE_Cohort!$B$3&gt;=Inputs!$B$30),E186,D186))</f>
        <v>0.01</v>
      </c>
      <c r="G186" s="20" t="str">
        <f aca="false">IF(AND(Inputs!$B$29="ARIDE cohort",ARIDE_Cohort!$B$3&gt;=Inputs!$B$30),IF(E186&gt;Inputs!$B$24,"ARIDE cohort","Floor (ARIDE share below floor)"),IF(D186&gt;Inputs!$B$24,"Indian literature",IF(D186&gt;0,"Floor (Indian share below floor)","Floor (no Indian data)")))</f>
        <v>Floor (no Indian data)</v>
      </c>
      <c r="H186" s="23" t="n">
        <f aca="false">IF(B186="AR",Inputs!$B$14,IF(B186="AD",Inputs!$B$15,Inputs!$B$16))</f>
        <v>0.5</v>
      </c>
      <c r="I186" s="12"/>
      <c r="J186" s="24" t="n">
        <f aca="false">IF(I186="",H186,I186)</f>
        <v>0.5</v>
      </c>
      <c r="K186" s="12"/>
      <c r="L186" s="24" t="n">
        <f aca="false">IF(K186="",Inputs!$B$20,K186)</f>
        <v>0.5</v>
      </c>
      <c r="M186" s="25" t="n">
        <f aca="false">IF(B186="AR",SQRT(Inputs!$B$9*F186/J186),IF(B186="AD",Inputs!$B$9*F186/(2*J186),2*Inputs!$B$9*F186/J186))</f>
        <v>2.20985306828003E-005</v>
      </c>
      <c r="N186" s="25" t="n">
        <f aca="false">IF(B186="AR",IF(Inputs!$B$25=0,SQRT(Inputs!$B$8*F186/J186),(-Inputs!$B$25+SQRT(Inputs!$B$25^2+4*(1-Inputs!$B$25)*Inputs!$B$8*F186/J186))/(2*(1-Inputs!$B$25))),IF(B186="AD",Inputs!$B$8*F186/(2*J186),2*Inputs!$B$8*F186/J186))</f>
        <v>1.73321809276865E-005</v>
      </c>
      <c r="O186" s="25" t="n">
        <f aca="false">MIN(Inputs!$B$26,M186*L186)</f>
        <v>1.10492653414002E-005</v>
      </c>
      <c r="P186" s="25" t="n">
        <f aca="false">MIN(Inputs!$B$26,O186*Inputs!$B$19)</f>
        <v>0.000110492653414002</v>
      </c>
      <c r="Q186" s="25" t="n">
        <f aca="false">MIN(O186,N186*Inputs!$B$21)</f>
        <v>8.66609046384327E-007</v>
      </c>
      <c r="R186" s="26"/>
      <c r="S186" s="26"/>
      <c r="T186" s="26"/>
      <c r="U186" s="20" t="str">
        <f aca="false">IF(COUNT(R186:T186)&gt;0,"Published spec (+calc where blank)","Calculated (this workbook)")</f>
        <v>Calculated (this workbook)</v>
      </c>
      <c r="V186" s="28" t="n">
        <f aca="false">IF(R186="",MAX(P186,W186),R186)</f>
        <v>0.000110492653414002</v>
      </c>
      <c r="W186" s="28" t="n">
        <f aca="false">IF(S186="",O186,S186)</f>
        <v>1.10492653414002E-005</v>
      </c>
      <c r="X186" s="28" t="n">
        <f aca="false">IF(T186="",Q186,T186)</f>
        <v>8.66609046384327E-007</v>
      </c>
      <c r="Y186" s="20" t="str">
        <f aca="false">IF(S186="","",IF(O186&lt;S186,"Calc STRICTER (lower)","Calc more lenient (higher)"))</f>
        <v/>
      </c>
      <c r="Z186" s="20" t="str">
        <f aca="false">IF(B186="XL","Hemizygous male AF (grpmax)","grpmax FAF95; check SAS, IndiGen, GenomeIndia")</f>
        <v>grpmax FAF95; check SAS, IndiGen, GenomeIndia</v>
      </c>
      <c r="AA186" s="20"/>
      <c r="AB186" s="20"/>
    </row>
    <row r="187" customFormat="false" ht="15" hidden="false" customHeight="false" outlineLevel="0" collapsed="false">
      <c r="A187" s="19" t="s">
        <v>343</v>
      </c>
      <c r="B187" s="20" t="s">
        <v>96</v>
      </c>
      <c r="C187" s="20" t="s">
        <v>344</v>
      </c>
      <c r="D187" s="21" t="n">
        <f aca="false">SUMIF(Indian_Gene_Shares!$B$5:$B$47,A187,Indian_Gene_Shares!$G$5:$G$47)</f>
        <v>0</v>
      </c>
      <c r="E187" s="9" t="n">
        <f aca="false">IFERROR(INDEX(ARIDE_Cohort!$C$6:$C$207,MATCH(A187,ARIDE_Cohort!$A$6:$A$207,0)),0)</f>
        <v>0</v>
      </c>
      <c r="F187" s="22" t="n">
        <f aca="false">MAX(Inputs!$B$24,IF(AND(Inputs!$B$29="ARIDE cohort",ARIDE_Cohort!$B$3&gt;=Inputs!$B$30),E187,D187))</f>
        <v>0.01</v>
      </c>
      <c r="G187" s="20" t="str">
        <f aca="false">IF(AND(Inputs!$B$29="ARIDE cohort",ARIDE_Cohort!$B$3&gt;=Inputs!$B$30),IF(E187&gt;Inputs!$B$24,"ARIDE cohort","Floor (ARIDE share below floor)"),IF(D187&gt;Inputs!$B$24,"Indian literature",IF(D187&gt;0,"Floor (Indian share below floor)","Floor (no Indian data)")))</f>
        <v>Floor (no Indian data)</v>
      </c>
      <c r="H187" s="23" t="n">
        <f aca="false">IF(B187="AR",Inputs!$B$14,IF(B187="AD",Inputs!$B$15,Inputs!$B$16))</f>
        <v>1</v>
      </c>
      <c r="I187" s="12"/>
      <c r="J187" s="24" t="n">
        <f aca="false">IF(I187="",H187,I187)</f>
        <v>1</v>
      </c>
      <c r="K187" s="12"/>
      <c r="L187" s="24" t="n">
        <f aca="false">IF(K187="",Inputs!$B$20,K187)</f>
        <v>0.5</v>
      </c>
      <c r="M187" s="25" t="n">
        <f aca="false">IF(B187="AR",SQRT(Inputs!$B$9*F187/J187),IF(B187="AD",Inputs!$B$9*F187/(2*J187),2*Inputs!$B$9*F187/J187))</f>
        <v>0.00470090743184764</v>
      </c>
      <c r="N187" s="25" t="n">
        <f aca="false">IF(B187="AR",IF(Inputs!$B$25=0,SQRT(Inputs!$B$8*F187/J187),(-Inputs!$B$25+SQRT(Inputs!$B$25^2+4*(1-Inputs!$B$25)*Inputs!$B$8*F187/J187))/(2*(1-Inputs!$B$25))),IF(B187="AD",Inputs!$B$8*F187/(2*J187),2*Inputs!$B$8*F187/J187))</f>
        <v>0.00416319359719033</v>
      </c>
      <c r="O187" s="25" t="n">
        <f aca="false">MIN(Inputs!$B$26,M187*L187)</f>
        <v>0.00235045371592382</v>
      </c>
      <c r="P187" s="25" t="n">
        <f aca="false">MIN(Inputs!$B$26,O187*Inputs!$B$19)</f>
        <v>0.0235045371592382</v>
      </c>
      <c r="Q187" s="25" t="n">
        <f aca="false">MIN(O187,N187*Inputs!$B$21)</f>
        <v>0.000208159679859516</v>
      </c>
      <c r="R187" s="26"/>
      <c r="S187" s="26"/>
      <c r="T187" s="26"/>
      <c r="U187" s="20" t="str">
        <f aca="false">IF(COUNT(R187:T187)&gt;0,"Published spec (+calc where blank)","Calculated (this workbook)")</f>
        <v>Calculated (this workbook)</v>
      </c>
      <c r="V187" s="28" t="n">
        <f aca="false">IF(R187="",MAX(P187,W187),R187)</f>
        <v>0.0235045371592382</v>
      </c>
      <c r="W187" s="28" t="n">
        <f aca="false">IF(S187="",O187,S187)</f>
        <v>0.00235045371592382</v>
      </c>
      <c r="X187" s="28" t="n">
        <f aca="false">IF(T187="",Q187,T187)</f>
        <v>0.000208159679859516</v>
      </c>
      <c r="Y187" s="20" t="str">
        <f aca="false">IF(S187="","",IF(O187&lt;S187,"Calc STRICTER (lower)","Calc more lenient (higher)"))</f>
        <v/>
      </c>
      <c r="Z187" s="20" t="str">
        <f aca="false">IF(B187="XL","Hemizygous male AF (grpmax)","grpmax FAF95; check SAS, IndiGen, GenomeIndia")</f>
        <v>grpmax FAF95; check SAS, IndiGen, GenomeIndia</v>
      </c>
      <c r="AA187" s="20"/>
      <c r="AB187" s="20"/>
    </row>
    <row r="188" customFormat="false" ht="15" hidden="false" customHeight="false" outlineLevel="0" collapsed="false">
      <c r="A188" s="19" t="s">
        <v>345</v>
      </c>
      <c r="B188" s="20" t="s">
        <v>109</v>
      </c>
      <c r="C188" s="20" t="s">
        <v>105</v>
      </c>
      <c r="D188" s="21" t="n">
        <f aca="false">SUMIF(Indian_Gene_Shares!$B$5:$B$47,A188,Indian_Gene_Shares!$G$5:$G$47)</f>
        <v>0</v>
      </c>
      <c r="E188" s="9" t="n">
        <f aca="false">IFERROR(INDEX(ARIDE_Cohort!$C$6:$C$207,MATCH(A188,ARIDE_Cohort!$A$6:$A$207,0)),0)</f>
        <v>0</v>
      </c>
      <c r="F188" s="22" t="n">
        <f aca="false">MAX(Inputs!$B$24,IF(AND(Inputs!$B$29="ARIDE cohort",ARIDE_Cohort!$B$3&gt;=Inputs!$B$30),E188,D188))</f>
        <v>0.01</v>
      </c>
      <c r="G188" s="20" t="str">
        <f aca="false">IF(AND(Inputs!$B$29="ARIDE cohort",ARIDE_Cohort!$B$3&gt;=Inputs!$B$30),IF(E188&gt;Inputs!$B$24,"ARIDE cohort","Floor (ARIDE share below floor)"),IF(D188&gt;Inputs!$B$24,"Indian literature",IF(D188&gt;0,"Floor (Indian share below floor)","Floor (no Indian data)")))</f>
        <v>Floor (no Indian data)</v>
      </c>
      <c r="H188" s="23" t="n">
        <f aca="false">IF(B188="AR",Inputs!$B$14,IF(B188="AD",Inputs!$B$15,Inputs!$B$16))</f>
        <v>0.5</v>
      </c>
      <c r="I188" s="12"/>
      <c r="J188" s="24" t="n">
        <f aca="false">IF(I188="",H188,I188)</f>
        <v>0.5</v>
      </c>
      <c r="K188" s="12"/>
      <c r="L188" s="24" t="n">
        <f aca="false">IF(K188="",Inputs!$B$20,K188)</f>
        <v>0.5</v>
      </c>
      <c r="M188" s="25" t="n">
        <f aca="false">IF(B188="AR",SQRT(Inputs!$B$9*F188/J188),IF(B188="AD",Inputs!$B$9*F188/(2*J188),2*Inputs!$B$9*F188/J188))</f>
        <v>2.20985306828003E-005</v>
      </c>
      <c r="N188" s="25" t="n">
        <f aca="false">IF(B188="AR",IF(Inputs!$B$25=0,SQRT(Inputs!$B$8*F188/J188),(-Inputs!$B$25+SQRT(Inputs!$B$25^2+4*(1-Inputs!$B$25)*Inputs!$B$8*F188/J188))/(2*(1-Inputs!$B$25))),IF(B188="AD",Inputs!$B$8*F188/(2*J188),2*Inputs!$B$8*F188/J188))</f>
        <v>1.73321809276865E-005</v>
      </c>
      <c r="O188" s="25" t="n">
        <f aca="false">MIN(Inputs!$B$26,M188*L188)</f>
        <v>1.10492653414002E-005</v>
      </c>
      <c r="P188" s="25" t="n">
        <f aca="false">MIN(Inputs!$B$26,O188*Inputs!$B$19)</f>
        <v>0.000110492653414002</v>
      </c>
      <c r="Q188" s="25" t="n">
        <f aca="false">MIN(O188,N188*Inputs!$B$21)</f>
        <v>8.66609046384327E-007</v>
      </c>
      <c r="R188" s="26"/>
      <c r="S188" s="26"/>
      <c r="T188" s="26"/>
      <c r="U188" s="20" t="str">
        <f aca="false">IF(COUNT(R188:T188)&gt;0,"Published spec (+calc where blank)","Calculated (this workbook)")</f>
        <v>Calculated (this workbook)</v>
      </c>
      <c r="V188" s="28" t="n">
        <f aca="false">IF(R188="",MAX(P188,W188),R188)</f>
        <v>0.000110492653414002</v>
      </c>
      <c r="W188" s="28" t="n">
        <f aca="false">IF(S188="",O188,S188)</f>
        <v>1.10492653414002E-005</v>
      </c>
      <c r="X188" s="28" t="n">
        <f aca="false">IF(T188="",Q188,T188)</f>
        <v>8.66609046384327E-007</v>
      </c>
      <c r="Y188" s="20" t="str">
        <f aca="false">IF(S188="","",IF(O188&lt;S188,"Calc STRICTER (lower)","Calc more lenient (higher)"))</f>
        <v/>
      </c>
      <c r="Z188" s="20" t="str">
        <f aca="false">IF(B188="XL","Hemizygous male AF (grpmax)","grpmax FAF95; check SAS, IndiGen, GenomeIndia")</f>
        <v>grpmax FAF95; check SAS, IndiGen, GenomeIndia</v>
      </c>
      <c r="AA188" s="20"/>
      <c r="AB188" s="20"/>
    </row>
    <row r="189" customFormat="false" ht="15" hidden="false" customHeight="false" outlineLevel="0" collapsed="false">
      <c r="A189" s="19" t="s">
        <v>346</v>
      </c>
      <c r="B189" s="20" t="s">
        <v>109</v>
      </c>
      <c r="C189" s="20" t="s">
        <v>105</v>
      </c>
      <c r="D189" s="21" t="n">
        <f aca="false">SUMIF(Indian_Gene_Shares!$B$5:$B$47,A189,Indian_Gene_Shares!$G$5:$G$47)</f>
        <v>0.0230784574468085</v>
      </c>
      <c r="E189" s="9" t="n">
        <f aca="false">IFERROR(INDEX(ARIDE_Cohort!$C$6:$C$207,MATCH(A189,ARIDE_Cohort!$A$6:$A$207,0)),0)</f>
        <v>0</v>
      </c>
      <c r="F189" s="22" t="n">
        <f aca="false">MAX(Inputs!$B$24,IF(AND(Inputs!$B$29="ARIDE cohort",ARIDE_Cohort!$B$3&gt;=Inputs!$B$30),E189,D189))</f>
        <v>0.0230784574468085</v>
      </c>
      <c r="G189" s="20" t="str">
        <f aca="false">IF(AND(Inputs!$B$29="ARIDE cohort",ARIDE_Cohort!$B$3&gt;=Inputs!$B$30),IF(E189&gt;Inputs!$B$24,"ARIDE cohort","Floor (ARIDE share below floor)"),IF(D189&gt;Inputs!$B$24,"Indian literature",IF(D189&gt;0,"Floor (Indian share below floor)","Floor (no Indian data)")))</f>
        <v>Indian literature</v>
      </c>
      <c r="H189" s="23" t="n">
        <f aca="false">IF(B189="AR",Inputs!$B$14,IF(B189="AD",Inputs!$B$15,Inputs!$B$16))</f>
        <v>0.5</v>
      </c>
      <c r="I189" s="12"/>
      <c r="J189" s="24" t="n">
        <f aca="false">IF(I189="",H189,I189)</f>
        <v>0.5</v>
      </c>
      <c r="K189" s="12"/>
      <c r="L189" s="24" t="n">
        <f aca="false">IF(K189="",Inputs!$B$20,K189)</f>
        <v>0.5</v>
      </c>
      <c r="M189" s="25" t="n">
        <f aca="false">IF(B189="AR",SQRT(Inputs!$B$9*F189/J189),IF(B189="AD",Inputs!$B$9*F189/(2*J189),2*Inputs!$B$9*F189/J189))</f>
        <v>5.1E-005</v>
      </c>
      <c r="N189" s="25" t="n">
        <f aca="false">IF(B189="AR",IF(Inputs!$B$25=0,SQRT(Inputs!$B$8*F189/J189),(-Inputs!$B$25+SQRT(Inputs!$B$25^2+4*(1-Inputs!$B$25)*Inputs!$B$8*F189/J189))/(2*(1-Inputs!$B$25))),IF(B189="AD",Inputs!$B$8*F189/(2*J189),2*Inputs!$B$8*F189/J189))</f>
        <v>4E-005</v>
      </c>
      <c r="O189" s="25" t="n">
        <f aca="false">MIN(Inputs!$B$26,M189*L189)</f>
        <v>2.55E-005</v>
      </c>
      <c r="P189" s="25" t="n">
        <f aca="false">MIN(Inputs!$B$26,O189*Inputs!$B$19)</f>
        <v>0.000255</v>
      </c>
      <c r="Q189" s="25" t="n">
        <f aca="false">MIN(O189,N189*Inputs!$B$21)</f>
        <v>2E-006</v>
      </c>
      <c r="R189" s="26"/>
      <c r="S189" s="26"/>
      <c r="T189" s="26"/>
      <c r="U189" s="20" t="str">
        <f aca="false">IF(COUNT(R189:T189)&gt;0,"Published spec (+calc where blank)","Calculated (this workbook)")</f>
        <v>Calculated (this workbook)</v>
      </c>
      <c r="V189" s="28" t="n">
        <f aca="false">IF(R189="",MAX(P189,W189),R189)</f>
        <v>0.000255</v>
      </c>
      <c r="W189" s="28" t="n">
        <f aca="false">IF(S189="",O189,S189)</f>
        <v>2.55E-005</v>
      </c>
      <c r="X189" s="28" t="n">
        <f aca="false">IF(T189="",Q189,T189)</f>
        <v>2E-006</v>
      </c>
      <c r="Y189" s="20" t="str">
        <f aca="false">IF(S189="","",IF(O189&lt;S189,"Calc STRICTER (lower)","Calc more lenient (higher)"))</f>
        <v/>
      </c>
      <c r="Z189" s="20" t="str">
        <f aca="false">IF(B189="XL","Hemizygous male AF (grpmax)","grpmax FAF95; check SAS, IndiGen, GenomeIndia")</f>
        <v>grpmax FAF95; check SAS, IndiGen, GenomeIndia</v>
      </c>
      <c r="AA189" s="20"/>
      <c r="AB189" s="20"/>
    </row>
    <row r="190" customFormat="false" ht="15" hidden="false" customHeight="false" outlineLevel="0" collapsed="false">
      <c r="A190" s="19" t="s">
        <v>346</v>
      </c>
      <c r="B190" s="20" t="s">
        <v>96</v>
      </c>
      <c r="C190" s="20" t="s">
        <v>105</v>
      </c>
      <c r="D190" s="21" t="n">
        <f aca="false">SUMIF(Indian_Gene_Shares!$B$5:$B$47,A190,Indian_Gene_Shares!$G$5:$G$47)</f>
        <v>0.0230784574468085</v>
      </c>
      <c r="E190" s="9" t="n">
        <f aca="false">IFERROR(INDEX(ARIDE_Cohort!$C$6:$C$207,MATCH(A190,ARIDE_Cohort!$A$6:$A$207,0)),0)</f>
        <v>0</v>
      </c>
      <c r="F190" s="22" t="n">
        <f aca="false">MAX(Inputs!$B$24,IF(AND(Inputs!$B$29="ARIDE cohort",ARIDE_Cohort!$B$3&gt;=Inputs!$B$30),E190,D190))</f>
        <v>0.0230784574468085</v>
      </c>
      <c r="G190" s="20" t="str">
        <f aca="false">IF(AND(Inputs!$B$29="ARIDE cohort",ARIDE_Cohort!$B$3&gt;=Inputs!$B$30),IF(E190&gt;Inputs!$B$24,"ARIDE cohort","Floor (ARIDE share below floor)"),IF(D190&gt;Inputs!$B$24,"Indian literature",IF(D190&gt;0,"Floor (Indian share below floor)","Floor (no Indian data)")))</f>
        <v>Indian literature</v>
      </c>
      <c r="H190" s="23" t="n">
        <f aca="false">IF(B190="AR",Inputs!$B$14,IF(B190="AD",Inputs!$B$15,Inputs!$B$16))</f>
        <v>1</v>
      </c>
      <c r="I190" s="12"/>
      <c r="J190" s="24" t="n">
        <f aca="false">IF(I190="",H190,I190)</f>
        <v>1</v>
      </c>
      <c r="K190" s="12"/>
      <c r="L190" s="24" t="n">
        <f aca="false">IF(K190="",Inputs!$B$20,K190)</f>
        <v>0.5</v>
      </c>
      <c r="M190" s="25" t="n">
        <f aca="false">IF(B190="AR",SQRT(Inputs!$B$9*F190/J190),IF(B190="AD",Inputs!$B$9*F190/(2*J190),2*Inputs!$B$9*F190/J190))</f>
        <v>0.00714142842854285</v>
      </c>
      <c r="N190" s="25" t="n">
        <f aca="false">IF(B190="AR",IF(Inputs!$B$25=0,SQRT(Inputs!$B$8*F190/J190),(-Inputs!$B$25+SQRT(Inputs!$B$25^2+4*(1-Inputs!$B$25)*Inputs!$B$8*F190/J190))/(2*(1-Inputs!$B$25))),IF(B190="AD",Inputs!$B$8*F190/(2*J190),2*Inputs!$B$8*F190/J190))</f>
        <v>0.00632455532033676</v>
      </c>
      <c r="O190" s="25" t="n">
        <f aca="false">MIN(Inputs!$B$26,M190*L190)</f>
        <v>0.00357071421427143</v>
      </c>
      <c r="P190" s="25" t="n">
        <f aca="false">MIN(Inputs!$B$26,O190*Inputs!$B$19)</f>
        <v>0.0357071421427143</v>
      </c>
      <c r="Q190" s="25" t="n">
        <f aca="false">MIN(O190,N190*Inputs!$B$21)</f>
        <v>0.000316227766016838</v>
      </c>
      <c r="R190" s="26"/>
      <c r="S190" s="26"/>
      <c r="T190" s="26"/>
      <c r="U190" s="20" t="str">
        <f aca="false">IF(COUNT(R190:T190)&gt;0,"Published spec (+calc where blank)","Calculated (this workbook)")</f>
        <v>Calculated (this workbook)</v>
      </c>
      <c r="V190" s="28" t="n">
        <f aca="false">IF(R190="",MAX(P190,W190),R190)</f>
        <v>0.0357071421427143</v>
      </c>
      <c r="W190" s="28" t="n">
        <f aca="false">IF(S190="",O190,S190)</f>
        <v>0.00357071421427143</v>
      </c>
      <c r="X190" s="28" t="n">
        <f aca="false">IF(T190="",Q190,T190)</f>
        <v>0.000316227766016838</v>
      </c>
      <c r="Y190" s="20" t="str">
        <f aca="false">IF(S190="","",IF(O190&lt;S190,"Calc STRICTER (lower)","Calc more lenient (higher)"))</f>
        <v/>
      </c>
      <c r="Z190" s="20" t="str">
        <f aca="false">IF(B190="XL","Hemizygous male AF (grpmax)","grpmax FAF95; check SAS, IndiGen, GenomeIndia")</f>
        <v>grpmax FAF95; check SAS, IndiGen, GenomeIndia</v>
      </c>
      <c r="AA190" s="20"/>
      <c r="AB190" s="20"/>
    </row>
    <row r="191" customFormat="false" ht="15" hidden="false" customHeight="false" outlineLevel="0" collapsed="false">
      <c r="A191" s="19" t="s">
        <v>347</v>
      </c>
      <c r="B191" s="20" t="s">
        <v>109</v>
      </c>
      <c r="C191" s="20" t="s">
        <v>348</v>
      </c>
      <c r="D191" s="21" t="n">
        <f aca="false">SUMIF(Indian_Gene_Shares!$B$5:$B$47,A191,Indian_Gene_Shares!$G$5:$G$47)</f>
        <v>0</v>
      </c>
      <c r="E191" s="9" t="n">
        <f aca="false">IFERROR(INDEX(ARIDE_Cohort!$C$6:$C$207,MATCH(A191,ARIDE_Cohort!$A$6:$A$207,0)),0)</f>
        <v>0</v>
      </c>
      <c r="F191" s="22" t="n">
        <f aca="false">MAX(Inputs!$B$24,IF(AND(Inputs!$B$29="ARIDE cohort",ARIDE_Cohort!$B$3&gt;=Inputs!$B$30),E191,D191))</f>
        <v>0.01</v>
      </c>
      <c r="G191" s="20" t="str">
        <f aca="false">IF(AND(Inputs!$B$29="ARIDE cohort",ARIDE_Cohort!$B$3&gt;=Inputs!$B$30),IF(E191&gt;Inputs!$B$24,"ARIDE cohort","Floor (ARIDE share below floor)"),IF(D191&gt;Inputs!$B$24,"Indian literature",IF(D191&gt;0,"Floor (Indian share below floor)","Floor (no Indian data)")))</f>
        <v>Floor (no Indian data)</v>
      </c>
      <c r="H191" s="23" t="n">
        <f aca="false">IF(B191="AR",Inputs!$B$14,IF(B191="AD",Inputs!$B$15,Inputs!$B$16))</f>
        <v>0.5</v>
      </c>
      <c r="I191" s="12"/>
      <c r="J191" s="24" t="n">
        <f aca="false">IF(I191="",H191,I191)</f>
        <v>0.5</v>
      </c>
      <c r="K191" s="12"/>
      <c r="L191" s="24" t="n">
        <f aca="false">IF(K191="",Inputs!$B$20,K191)</f>
        <v>0.5</v>
      </c>
      <c r="M191" s="25" t="n">
        <f aca="false">IF(B191="AR",SQRT(Inputs!$B$9*F191/J191),IF(B191="AD",Inputs!$B$9*F191/(2*J191),2*Inputs!$B$9*F191/J191))</f>
        <v>2.20985306828003E-005</v>
      </c>
      <c r="N191" s="25" t="n">
        <f aca="false">IF(B191="AR",IF(Inputs!$B$25=0,SQRT(Inputs!$B$8*F191/J191),(-Inputs!$B$25+SQRT(Inputs!$B$25^2+4*(1-Inputs!$B$25)*Inputs!$B$8*F191/J191))/(2*(1-Inputs!$B$25))),IF(B191="AD",Inputs!$B$8*F191/(2*J191),2*Inputs!$B$8*F191/J191))</f>
        <v>1.73321809276865E-005</v>
      </c>
      <c r="O191" s="25" t="n">
        <f aca="false">MIN(Inputs!$B$26,M191*L191)</f>
        <v>1.10492653414002E-005</v>
      </c>
      <c r="P191" s="25" t="n">
        <f aca="false">MIN(Inputs!$B$26,O191*Inputs!$B$19)</f>
        <v>0.000110492653414002</v>
      </c>
      <c r="Q191" s="25" t="n">
        <f aca="false">MIN(O191,N191*Inputs!$B$21)</f>
        <v>8.66609046384327E-007</v>
      </c>
      <c r="R191" s="26"/>
      <c r="S191" s="26"/>
      <c r="T191" s="26"/>
      <c r="U191" s="20" t="str">
        <f aca="false">IF(COUNT(R191:T191)&gt;0,"Published spec (+calc where blank)","Calculated (this workbook)")</f>
        <v>Calculated (this workbook)</v>
      </c>
      <c r="V191" s="28" t="n">
        <f aca="false">IF(R191="",MAX(P191,W191),R191)</f>
        <v>0.000110492653414002</v>
      </c>
      <c r="W191" s="28" t="n">
        <f aca="false">IF(S191="",O191,S191)</f>
        <v>1.10492653414002E-005</v>
      </c>
      <c r="X191" s="28" t="n">
        <f aca="false">IF(T191="",Q191,T191)</f>
        <v>8.66609046384327E-007</v>
      </c>
      <c r="Y191" s="20" t="str">
        <f aca="false">IF(S191="","",IF(O191&lt;S191,"Calc STRICTER (lower)","Calc more lenient (higher)"))</f>
        <v/>
      </c>
      <c r="Z191" s="20" t="str">
        <f aca="false">IF(B191="XL","Hemizygous male AF (grpmax)","grpmax FAF95; check SAS, IndiGen, GenomeIndia")</f>
        <v>grpmax FAF95; check SAS, IndiGen, GenomeIndia</v>
      </c>
      <c r="AA191" s="20"/>
      <c r="AB191" s="20"/>
    </row>
    <row r="192" customFormat="false" ht="15" hidden="false" customHeight="false" outlineLevel="0" collapsed="false">
      <c r="A192" s="19" t="s">
        <v>347</v>
      </c>
      <c r="B192" s="20" t="s">
        <v>96</v>
      </c>
      <c r="C192" s="20" t="s">
        <v>105</v>
      </c>
      <c r="D192" s="21" t="n">
        <f aca="false">SUMIF(Indian_Gene_Shares!$B$5:$B$47,A192,Indian_Gene_Shares!$G$5:$G$47)</f>
        <v>0</v>
      </c>
      <c r="E192" s="9" t="n">
        <f aca="false">IFERROR(INDEX(ARIDE_Cohort!$C$6:$C$207,MATCH(A192,ARIDE_Cohort!$A$6:$A$207,0)),0)</f>
        <v>0</v>
      </c>
      <c r="F192" s="22" t="n">
        <f aca="false">MAX(Inputs!$B$24,IF(AND(Inputs!$B$29="ARIDE cohort",ARIDE_Cohort!$B$3&gt;=Inputs!$B$30),E192,D192))</f>
        <v>0.01</v>
      </c>
      <c r="G192" s="20" t="str">
        <f aca="false">IF(AND(Inputs!$B$29="ARIDE cohort",ARIDE_Cohort!$B$3&gt;=Inputs!$B$30),IF(E192&gt;Inputs!$B$24,"ARIDE cohort","Floor (ARIDE share below floor)"),IF(D192&gt;Inputs!$B$24,"Indian literature",IF(D192&gt;0,"Floor (Indian share below floor)","Floor (no Indian data)")))</f>
        <v>Floor (no Indian data)</v>
      </c>
      <c r="H192" s="23" t="n">
        <f aca="false">IF(B192="AR",Inputs!$B$14,IF(B192="AD",Inputs!$B$15,Inputs!$B$16))</f>
        <v>1</v>
      </c>
      <c r="I192" s="12"/>
      <c r="J192" s="24" t="n">
        <f aca="false">IF(I192="",H192,I192)</f>
        <v>1</v>
      </c>
      <c r="K192" s="12"/>
      <c r="L192" s="24" t="n">
        <f aca="false">IF(K192="",Inputs!$B$20,K192)</f>
        <v>0.5</v>
      </c>
      <c r="M192" s="25" t="n">
        <f aca="false">IF(B192="AR",SQRT(Inputs!$B$9*F192/J192),IF(B192="AD",Inputs!$B$9*F192/(2*J192),2*Inputs!$B$9*F192/J192))</f>
        <v>0.00470090743184764</v>
      </c>
      <c r="N192" s="25" t="n">
        <f aca="false">IF(B192="AR",IF(Inputs!$B$25=0,SQRT(Inputs!$B$8*F192/J192),(-Inputs!$B$25+SQRT(Inputs!$B$25^2+4*(1-Inputs!$B$25)*Inputs!$B$8*F192/J192))/(2*(1-Inputs!$B$25))),IF(B192="AD",Inputs!$B$8*F192/(2*J192),2*Inputs!$B$8*F192/J192))</f>
        <v>0.00416319359719033</v>
      </c>
      <c r="O192" s="25" t="n">
        <f aca="false">MIN(Inputs!$B$26,M192*L192)</f>
        <v>0.00235045371592382</v>
      </c>
      <c r="P192" s="25" t="n">
        <f aca="false">MIN(Inputs!$B$26,O192*Inputs!$B$19)</f>
        <v>0.0235045371592382</v>
      </c>
      <c r="Q192" s="25" t="n">
        <f aca="false">MIN(O192,N192*Inputs!$B$21)</f>
        <v>0.000208159679859516</v>
      </c>
      <c r="R192" s="26"/>
      <c r="S192" s="26"/>
      <c r="T192" s="26"/>
      <c r="U192" s="20" t="str">
        <f aca="false">IF(COUNT(R192:T192)&gt;0,"Published spec (+calc where blank)","Calculated (this workbook)")</f>
        <v>Calculated (this workbook)</v>
      </c>
      <c r="V192" s="28" t="n">
        <f aca="false">IF(R192="",MAX(P192,W192),R192)</f>
        <v>0.0235045371592382</v>
      </c>
      <c r="W192" s="28" t="n">
        <f aca="false">IF(S192="",O192,S192)</f>
        <v>0.00235045371592382</v>
      </c>
      <c r="X192" s="28" t="n">
        <f aca="false">IF(T192="",Q192,T192)</f>
        <v>0.000208159679859516</v>
      </c>
      <c r="Y192" s="20" t="str">
        <f aca="false">IF(S192="","",IF(O192&lt;S192,"Calc STRICTER (lower)","Calc more lenient (higher)"))</f>
        <v/>
      </c>
      <c r="Z192" s="20" t="str">
        <f aca="false">IF(B192="XL","Hemizygous male AF (grpmax)","grpmax FAF95; check SAS, IndiGen, GenomeIndia")</f>
        <v>grpmax FAF95; check SAS, IndiGen, GenomeIndia</v>
      </c>
      <c r="AA192" s="20"/>
      <c r="AB192" s="20"/>
    </row>
    <row r="193" customFormat="false" ht="15" hidden="false" customHeight="false" outlineLevel="0" collapsed="false">
      <c r="A193" s="19" t="s">
        <v>349</v>
      </c>
      <c r="B193" s="20" t="s">
        <v>149</v>
      </c>
      <c r="C193" s="20" t="s">
        <v>105</v>
      </c>
      <c r="D193" s="21" t="n">
        <f aca="false">SUMIF(Indian_Gene_Shares!$B$5:$B$47,A193,Indian_Gene_Shares!$G$5:$G$47)</f>
        <v>0</v>
      </c>
      <c r="E193" s="9" t="n">
        <f aca="false">IFERROR(INDEX(ARIDE_Cohort!$C$6:$C$207,MATCH(A193,ARIDE_Cohort!$A$6:$A$207,0)),0)</f>
        <v>0</v>
      </c>
      <c r="F193" s="22" t="n">
        <f aca="false">MAX(Inputs!$B$24,IF(AND(Inputs!$B$29="ARIDE cohort",ARIDE_Cohort!$B$3&gt;=Inputs!$B$30),E193,D193))</f>
        <v>0.01</v>
      </c>
      <c r="G193" s="20" t="str">
        <f aca="false">IF(AND(Inputs!$B$29="ARIDE cohort",ARIDE_Cohort!$B$3&gt;=Inputs!$B$30),IF(E193&gt;Inputs!$B$24,"ARIDE cohort","Floor (ARIDE share below floor)"),IF(D193&gt;Inputs!$B$24,"Indian literature",IF(D193&gt;0,"Floor (Indian share below floor)","Floor (no Indian data)")))</f>
        <v>Floor (no Indian data)</v>
      </c>
      <c r="H193" s="23" t="n">
        <f aca="false">IF(B193="AR",Inputs!$B$14,IF(B193="AD",Inputs!$B$15,Inputs!$B$16))</f>
        <v>1</v>
      </c>
      <c r="I193" s="12"/>
      <c r="J193" s="24" t="n">
        <f aca="false">IF(I193="",H193,I193)</f>
        <v>1</v>
      </c>
      <c r="K193" s="12"/>
      <c r="L193" s="24" t="n">
        <f aca="false">IF(K193="",Inputs!$B$20,K193)</f>
        <v>0.5</v>
      </c>
      <c r="M193" s="25" t="n">
        <f aca="false">IF(B193="AR",SQRT(Inputs!$B$9*F193/J193),IF(B193="AD",Inputs!$B$9*F193/(2*J193),2*Inputs!$B$9*F193/J193))</f>
        <v>4.41970613656007E-005</v>
      </c>
      <c r="N193" s="25" t="n">
        <f aca="false">IF(B193="AR",IF(Inputs!$B$25=0,SQRT(Inputs!$B$8*F193/J193),(-Inputs!$B$25+SQRT(Inputs!$B$25^2+4*(1-Inputs!$B$25)*Inputs!$B$8*F193/J193))/(2*(1-Inputs!$B$25))),IF(B193="AD",Inputs!$B$8*F193/(2*J193),2*Inputs!$B$8*F193/J193))</f>
        <v>3.46643618553731E-005</v>
      </c>
      <c r="O193" s="25" t="n">
        <f aca="false">MIN(Inputs!$B$26,M193*L193)</f>
        <v>2.20985306828003E-005</v>
      </c>
      <c r="P193" s="25" t="n">
        <f aca="false">MIN(Inputs!$B$26,O193*Inputs!$B$19)</f>
        <v>0.000220985306828003</v>
      </c>
      <c r="Q193" s="25" t="n">
        <f aca="false">MIN(O193,N193*Inputs!$B$21)</f>
        <v>1.73321809276865E-006</v>
      </c>
      <c r="R193" s="26"/>
      <c r="S193" s="26"/>
      <c r="T193" s="26"/>
      <c r="U193" s="20" t="str">
        <f aca="false">IF(COUNT(R193:T193)&gt;0,"Published spec (+calc where blank)","Calculated (this workbook)")</f>
        <v>Calculated (this workbook)</v>
      </c>
      <c r="V193" s="28" t="n">
        <f aca="false">IF(R193="",MAX(P193,W193),R193)</f>
        <v>0.000220985306828003</v>
      </c>
      <c r="W193" s="28" t="n">
        <f aca="false">IF(S193="",O193,S193)</f>
        <v>2.20985306828003E-005</v>
      </c>
      <c r="X193" s="28" t="n">
        <f aca="false">IF(T193="",Q193,T193)</f>
        <v>1.73321809276865E-006</v>
      </c>
      <c r="Y193" s="20" t="str">
        <f aca="false">IF(S193="","",IF(O193&lt;S193,"Calc STRICTER (lower)","Calc more lenient (higher)"))</f>
        <v/>
      </c>
      <c r="Z193" s="20" t="str">
        <f aca="false">IF(B193="XL","Hemizygous male AF (grpmax)","grpmax FAF95; check SAS, IndiGen, GenomeIndia")</f>
        <v>Hemizygous male AF (grpmax)</v>
      </c>
      <c r="AA193" s="20"/>
      <c r="AB193" s="20"/>
    </row>
    <row r="194" customFormat="false" ht="15" hidden="false" customHeight="false" outlineLevel="0" collapsed="false">
      <c r="A194" s="19" t="s">
        <v>350</v>
      </c>
      <c r="B194" s="20" t="s">
        <v>109</v>
      </c>
      <c r="C194" s="20" t="s">
        <v>105</v>
      </c>
      <c r="D194" s="21" t="n">
        <f aca="false">SUMIF(Indian_Gene_Shares!$B$5:$B$47,A194,Indian_Gene_Shares!$G$5:$G$47)</f>
        <v>0</v>
      </c>
      <c r="E194" s="9" t="n">
        <f aca="false">IFERROR(INDEX(ARIDE_Cohort!$C$6:$C$207,MATCH(A194,ARIDE_Cohort!$A$6:$A$207,0)),0)</f>
        <v>0</v>
      </c>
      <c r="F194" s="22" t="n">
        <f aca="false">MAX(Inputs!$B$24,IF(AND(Inputs!$B$29="ARIDE cohort",ARIDE_Cohort!$B$3&gt;=Inputs!$B$30),E194,D194))</f>
        <v>0.01</v>
      </c>
      <c r="G194" s="20" t="str">
        <f aca="false">IF(AND(Inputs!$B$29="ARIDE cohort",ARIDE_Cohort!$B$3&gt;=Inputs!$B$30),IF(E194&gt;Inputs!$B$24,"ARIDE cohort","Floor (ARIDE share below floor)"),IF(D194&gt;Inputs!$B$24,"Indian literature",IF(D194&gt;0,"Floor (Indian share below floor)","Floor (no Indian data)")))</f>
        <v>Floor (no Indian data)</v>
      </c>
      <c r="H194" s="23" t="n">
        <f aca="false">IF(B194="AR",Inputs!$B$14,IF(B194="AD",Inputs!$B$15,Inputs!$B$16))</f>
        <v>0.5</v>
      </c>
      <c r="I194" s="12"/>
      <c r="J194" s="24" t="n">
        <f aca="false">IF(I194="",H194,I194)</f>
        <v>0.5</v>
      </c>
      <c r="K194" s="12"/>
      <c r="L194" s="24" t="n">
        <f aca="false">IF(K194="",Inputs!$B$20,K194)</f>
        <v>0.5</v>
      </c>
      <c r="M194" s="25" t="n">
        <f aca="false">IF(B194="AR",SQRT(Inputs!$B$9*F194/J194),IF(B194="AD",Inputs!$B$9*F194/(2*J194),2*Inputs!$B$9*F194/J194))</f>
        <v>2.20985306828003E-005</v>
      </c>
      <c r="N194" s="25" t="n">
        <f aca="false">IF(B194="AR",IF(Inputs!$B$25=0,SQRT(Inputs!$B$8*F194/J194),(-Inputs!$B$25+SQRT(Inputs!$B$25^2+4*(1-Inputs!$B$25)*Inputs!$B$8*F194/J194))/(2*(1-Inputs!$B$25))),IF(B194="AD",Inputs!$B$8*F194/(2*J194),2*Inputs!$B$8*F194/J194))</f>
        <v>1.73321809276865E-005</v>
      </c>
      <c r="O194" s="25" t="n">
        <f aca="false">MIN(Inputs!$B$26,M194*L194)</f>
        <v>1.10492653414002E-005</v>
      </c>
      <c r="P194" s="25" t="n">
        <f aca="false">MIN(Inputs!$B$26,O194*Inputs!$B$19)</f>
        <v>0.000110492653414002</v>
      </c>
      <c r="Q194" s="25" t="n">
        <f aca="false">MIN(O194,N194*Inputs!$B$21)</f>
        <v>8.66609046384327E-007</v>
      </c>
      <c r="R194" s="26"/>
      <c r="S194" s="26"/>
      <c r="T194" s="26"/>
      <c r="U194" s="20" t="str">
        <f aca="false">IF(COUNT(R194:T194)&gt;0,"Published spec (+calc where blank)","Calculated (this workbook)")</f>
        <v>Calculated (this workbook)</v>
      </c>
      <c r="V194" s="28" t="n">
        <f aca="false">IF(R194="",MAX(P194,W194),R194)</f>
        <v>0.000110492653414002</v>
      </c>
      <c r="W194" s="28" t="n">
        <f aca="false">IF(S194="",O194,S194)</f>
        <v>1.10492653414002E-005</v>
      </c>
      <c r="X194" s="28" t="n">
        <f aca="false">IF(T194="",Q194,T194)</f>
        <v>8.66609046384327E-007</v>
      </c>
      <c r="Y194" s="20" t="str">
        <f aca="false">IF(S194="","",IF(O194&lt;S194,"Calc STRICTER (lower)","Calc more lenient (higher)"))</f>
        <v/>
      </c>
      <c r="Z194" s="20" t="str">
        <f aca="false">IF(B194="XL","Hemizygous male AF (grpmax)","grpmax FAF95; check SAS, IndiGen, GenomeIndia")</f>
        <v>grpmax FAF95; check SAS, IndiGen, GenomeIndia</v>
      </c>
      <c r="AA194" s="20"/>
      <c r="AB194" s="20"/>
    </row>
    <row r="195" customFormat="false" ht="15" hidden="false" customHeight="false" outlineLevel="0" collapsed="false">
      <c r="A195" s="19" t="s">
        <v>351</v>
      </c>
      <c r="B195" s="20" t="s">
        <v>96</v>
      </c>
      <c r="C195" s="20" t="s">
        <v>190</v>
      </c>
      <c r="D195" s="21" t="n">
        <f aca="false">SUMIF(Indian_Gene_Shares!$B$5:$B$47,A195,Indian_Gene_Shares!$G$5:$G$47)</f>
        <v>0.0549640672492401</v>
      </c>
      <c r="E195" s="9" t="n">
        <f aca="false">IFERROR(INDEX(ARIDE_Cohort!$C$6:$C$207,MATCH(A195,ARIDE_Cohort!$A$6:$A$207,0)),0)</f>
        <v>0</v>
      </c>
      <c r="F195" s="22" t="n">
        <f aca="false">MAX(Inputs!$B$24,IF(AND(Inputs!$B$29="ARIDE cohort",ARIDE_Cohort!$B$3&gt;=Inputs!$B$30),E195,D195))</f>
        <v>0.0549640672492401</v>
      </c>
      <c r="G195" s="20" t="str">
        <f aca="false">IF(AND(Inputs!$B$29="ARIDE cohort",ARIDE_Cohort!$B$3&gt;=Inputs!$B$30),IF(E195&gt;Inputs!$B$24,"ARIDE cohort","Floor (ARIDE share below floor)"),IF(D195&gt;Inputs!$B$24,"Indian literature",IF(D195&gt;0,"Floor (Indian share below floor)","Floor (no Indian data)")))</f>
        <v>Indian literature</v>
      </c>
      <c r="H195" s="23" t="n">
        <f aca="false">IF(B195="AR",Inputs!$B$14,IF(B195="AD",Inputs!$B$15,Inputs!$B$16))</f>
        <v>1</v>
      </c>
      <c r="I195" s="12"/>
      <c r="J195" s="24" t="n">
        <f aca="false">IF(I195="",H195,I195)</f>
        <v>1</v>
      </c>
      <c r="K195" s="12"/>
      <c r="L195" s="24" t="n">
        <f aca="false">IF(K195="",Inputs!$B$20,K195)</f>
        <v>0.5</v>
      </c>
      <c r="M195" s="25" t="n">
        <f aca="false">IF(B195="AR",SQRT(Inputs!$B$9*F195/J195),IF(B195="AD",Inputs!$B$9*F195/(2*J195),2*Inputs!$B$9*F195/J195))</f>
        <v>0.0110210032508789</v>
      </c>
      <c r="N195" s="25" t="n">
        <f aca="false">IF(B195="AR",IF(Inputs!$B$25=0,SQRT(Inputs!$B$8*F195/J195),(-Inputs!$B$25+SQRT(Inputs!$B$25^2+4*(1-Inputs!$B$25)*Inputs!$B$8*F195/J195))/(2*(1-Inputs!$B$25))),IF(B195="AD",Inputs!$B$8*F195/(2*J195),2*Inputs!$B$8*F195/J195))</f>
        <v>0.00976036453256414</v>
      </c>
      <c r="O195" s="25" t="n">
        <f aca="false">MIN(Inputs!$B$26,M195*L195)</f>
        <v>0.00551050162543945</v>
      </c>
      <c r="P195" s="25" t="n">
        <f aca="false">MIN(Inputs!$B$26,O195*Inputs!$B$19)</f>
        <v>0.05</v>
      </c>
      <c r="Q195" s="25" t="n">
        <f aca="false">MIN(O195,N195*Inputs!$B$21)</f>
        <v>0.000488018226628207</v>
      </c>
      <c r="R195" s="27" t="n">
        <v>0.008</v>
      </c>
      <c r="S195" s="27" t="n">
        <v>0.0008</v>
      </c>
      <c r="T195" s="27" t="n">
        <v>0.0002</v>
      </c>
      <c r="U195" s="20" t="str">
        <f aca="false">IF(COUNT(R195:T195)&gt;0,"Published spec (+calc where blank)","Calculated (this workbook)")</f>
        <v>Published spec (+calc where blank)</v>
      </c>
      <c r="V195" s="28" t="n">
        <f aca="false">IF(R195="",MAX(P195,W195),R195)</f>
        <v>0.008</v>
      </c>
      <c r="W195" s="28" t="n">
        <f aca="false">IF(S195="",O195,S195)</f>
        <v>0.0008</v>
      </c>
      <c r="X195" s="28" t="n">
        <f aca="false">IF(T195="",Q195,T195)</f>
        <v>0.0002</v>
      </c>
      <c r="Y195" s="20" t="str">
        <f aca="false">IF(S195="","",IF(O195&lt;S195,"Calc STRICTER (lower)","Calc more lenient (higher)"))</f>
        <v>Calc more lenient (higher)</v>
      </c>
      <c r="Z195" s="20" t="str">
        <f aca="false">IF(B195="XL","Hemizygous male AF (grpmax)","grpmax FAF95; check SAS, IndiGen, GenomeIndia")</f>
        <v>grpmax FAF95; check SAS, IndiGen, GenomeIndia</v>
      </c>
      <c r="AA195" s="20" t="s">
        <v>352</v>
      </c>
      <c r="AB195" s="20"/>
    </row>
    <row r="196" customFormat="false" ht="15" hidden="false" customHeight="false" outlineLevel="0" collapsed="false">
      <c r="A196" s="19" t="s">
        <v>351</v>
      </c>
      <c r="B196" s="20" t="s">
        <v>109</v>
      </c>
      <c r="C196" s="20" t="s">
        <v>105</v>
      </c>
      <c r="D196" s="21" t="n">
        <f aca="false">SUMIF(Indian_Gene_Shares!$B$5:$B$47,A196,Indian_Gene_Shares!$G$5:$G$47)</f>
        <v>0.0549640672492401</v>
      </c>
      <c r="E196" s="9" t="n">
        <f aca="false">IFERROR(INDEX(ARIDE_Cohort!$C$6:$C$207,MATCH(A196,ARIDE_Cohort!$A$6:$A$207,0)),0)</f>
        <v>0</v>
      </c>
      <c r="F196" s="22" t="n">
        <f aca="false">MAX(Inputs!$B$24,IF(AND(Inputs!$B$29="ARIDE cohort",ARIDE_Cohort!$B$3&gt;=Inputs!$B$30),E196,D196))</f>
        <v>0.0549640672492401</v>
      </c>
      <c r="G196" s="20" t="str">
        <f aca="false">IF(AND(Inputs!$B$29="ARIDE cohort",ARIDE_Cohort!$B$3&gt;=Inputs!$B$30),IF(E196&gt;Inputs!$B$24,"ARIDE cohort","Floor (ARIDE share below floor)"),IF(D196&gt;Inputs!$B$24,"Indian literature",IF(D196&gt;0,"Floor (Indian share below floor)","Floor (no Indian data)")))</f>
        <v>Indian literature</v>
      </c>
      <c r="H196" s="23" t="n">
        <f aca="false">IF(B196="AR",Inputs!$B$14,IF(B196="AD",Inputs!$B$15,Inputs!$B$16))</f>
        <v>0.5</v>
      </c>
      <c r="I196" s="12"/>
      <c r="J196" s="24" t="n">
        <f aca="false">IF(I196="",H196,I196)</f>
        <v>0.5</v>
      </c>
      <c r="K196" s="12"/>
      <c r="L196" s="24" t="n">
        <f aca="false">IF(K196="",Inputs!$B$20,K196)</f>
        <v>0.5</v>
      </c>
      <c r="M196" s="25" t="n">
        <f aca="false">IF(B196="AR",SQRT(Inputs!$B$9*F196/J196),IF(B196="AD",Inputs!$B$9*F196/(2*J196),2*Inputs!$B$9*F196/J196))</f>
        <v>0.000121462512655883</v>
      </c>
      <c r="N196" s="25" t="n">
        <f aca="false">IF(B196="AR",IF(Inputs!$B$25=0,SQRT(Inputs!$B$8*F196/J196),(-Inputs!$B$25+SQRT(Inputs!$B$25^2+4*(1-Inputs!$B$25)*Inputs!$B$8*F196/J196))/(2*(1-Inputs!$B$25))),IF(B196="AD",Inputs!$B$8*F196/(2*J196),2*Inputs!$B$8*F196/J196))</f>
        <v>9.5264715808536E-005</v>
      </c>
      <c r="O196" s="25" t="n">
        <f aca="false">MIN(Inputs!$B$26,M196*L196)</f>
        <v>6.07312563279417E-005</v>
      </c>
      <c r="P196" s="25" t="n">
        <f aca="false">MIN(Inputs!$B$26,O196*Inputs!$B$19)</f>
        <v>0.000607312563279417</v>
      </c>
      <c r="Q196" s="25" t="n">
        <f aca="false">MIN(O196,N196*Inputs!$B$21)</f>
        <v>4.7632357904268E-006</v>
      </c>
      <c r="R196" s="26"/>
      <c r="S196" s="26"/>
      <c r="T196" s="26"/>
      <c r="U196" s="20" t="str">
        <f aca="false">IF(COUNT(R196:T196)&gt;0,"Published spec (+calc where blank)","Calculated (this workbook)")</f>
        <v>Calculated (this workbook)</v>
      </c>
      <c r="V196" s="28" t="n">
        <f aca="false">IF(R196="",MAX(P196,W196),R196)</f>
        <v>0.000607312563279417</v>
      </c>
      <c r="W196" s="28" t="n">
        <f aca="false">IF(S196="",O196,S196)</f>
        <v>6.07312563279417E-005</v>
      </c>
      <c r="X196" s="28" t="n">
        <f aca="false">IF(T196="",Q196,T196)</f>
        <v>4.7632357904268E-006</v>
      </c>
      <c r="Y196" s="20" t="str">
        <f aca="false">IF(S196="","",IF(O196&lt;S196,"Calc STRICTER (lower)","Calc more lenient (higher)"))</f>
        <v/>
      </c>
      <c r="Z196" s="20" t="str">
        <f aca="false">IF(B196="XL","Hemizygous male AF (grpmax)","grpmax FAF95; check SAS, IndiGen, GenomeIndia")</f>
        <v>grpmax FAF95; check SAS, IndiGen, GenomeIndia</v>
      </c>
      <c r="AA196" s="20"/>
      <c r="AB196" s="20"/>
    </row>
    <row r="197" customFormat="false" ht="15" hidden="false" customHeight="false" outlineLevel="0" collapsed="false">
      <c r="A197" s="19" t="s">
        <v>353</v>
      </c>
      <c r="B197" s="20" t="s">
        <v>149</v>
      </c>
      <c r="C197" s="20" t="s">
        <v>170</v>
      </c>
      <c r="D197" s="21" t="n">
        <f aca="false">SUMIF(Indian_Gene_Shares!$B$5:$B$47,A197,Indian_Gene_Shares!$G$5:$G$47)</f>
        <v>0</v>
      </c>
      <c r="E197" s="9" t="n">
        <f aca="false">IFERROR(INDEX(ARIDE_Cohort!$C$6:$C$207,MATCH(A197,ARIDE_Cohort!$A$6:$A$207,0)),0)</f>
        <v>0</v>
      </c>
      <c r="F197" s="22" t="n">
        <f aca="false">MAX(Inputs!$B$24,IF(AND(Inputs!$B$29="ARIDE cohort",ARIDE_Cohort!$B$3&gt;=Inputs!$B$30),E197,D197))</f>
        <v>0.01</v>
      </c>
      <c r="G197" s="20" t="str">
        <f aca="false">IF(AND(Inputs!$B$29="ARIDE cohort",ARIDE_Cohort!$B$3&gt;=Inputs!$B$30),IF(E197&gt;Inputs!$B$24,"ARIDE cohort","Floor (ARIDE share below floor)"),IF(D197&gt;Inputs!$B$24,"Indian literature",IF(D197&gt;0,"Floor (Indian share below floor)","Floor (no Indian data)")))</f>
        <v>Floor (no Indian data)</v>
      </c>
      <c r="H197" s="23" t="n">
        <f aca="false">IF(B197="AR",Inputs!$B$14,IF(B197="AD",Inputs!$B$15,Inputs!$B$16))</f>
        <v>1</v>
      </c>
      <c r="I197" s="12"/>
      <c r="J197" s="24" t="n">
        <f aca="false">IF(I197="",H197,I197)</f>
        <v>1</v>
      </c>
      <c r="K197" s="12"/>
      <c r="L197" s="24" t="n">
        <f aca="false">IF(K197="",Inputs!$B$20,K197)</f>
        <v>0.5</v>
      </c>
      <c r="M197" s="25" t="n">
        <f aca="false">IF(B197="AR",SQRT(Inputs!$B$9*F197/J197),IF(B197="AD",Inputs!$B$9*F197/(2*J197),2*Inputs!$B$9*F197/J197))</f>
        <v>4.41970613656007E-005</v>
      </c>
      <c r="N197" s="25" t="n">
        <f aca="false">IF(B197="AR",IF(Inputs!$B$25=0,SQRT(Inputs!$B$8*F197/J197),(-Inputs!$B$25+SQRT(Inputs!$B$25^2+4*(1-Inputs!$B$25)*Inputs!$B$8*F197/J197))/(2*(1-Inputs!$B$25))),IF(B197="AD",Inputs!$B$8*F197/(2*J197),2*Inputs!$B$8*F197/J197))</f>
        <v>3.46643618553731E-005</v>
      </c>
      <c r="O197" s="25" t="n">
        <f aca="false">MIN(Inputs!$B$26,M197*L197)</f>
        <v>2.20985306828003E-005</v>
      </c>
      <c r="P197" s="25" t="n">
        <f aca="false">MIN(Inputs!$B$26,O197*Inputs!$B$19)</f>
        <v>0.000220985306828003</v>
      </c>
      <c r="Q197" s="25" t="n">
        <f aca="false">MIN(O197,N197*Inputs!$B$21)</f>
        <v>1.73321809276865E-006</v>
      </c>
      <c r="R197" s="27" t="n">
        <v>0.05</v>
      </c>
      <c r="S197" s="27" t="n">
        <v>8.3E-005</v>
      </c>
      <c r="T197" s="27" t="n">
        <v>5E-005</v>
      </c>
      <c r="U197" s="20" t="str">
        <f aca="false">IF(COUNT(R197:T197)&gt;0,"Published spec (+calc where blank)","Calculated (this workbook)")</f>
        <v>Published spec (+calc where blank)</v>
      </c>
      <c r="V197" s="28" t="n">
        <f aca="false">IF(R197="",MAX(P197,W197),R197)</f>
        <v>0.05</v>
      </c>
      <c r="W197" s="28" t="n">
        <f aca="false">IF(S197="",O197,S197)</f>
        <v>8.3E-005</v>
      </c>
      <c r="X197" s="28" t="n">
        <f aca="false">IF(T197="",Q197,T197)</f>
        <v>5E-005</v>
      </c>
      <c r="Y197" s="20" t="str">
        <f aca="false">IF(S197="","",IF(O197&lt;S197,"Calc STRICTER (lower)","Calc more lenient (higher)"))</f>
        <v>Calc STRICTER (lower)</v>
      </c>
      <c r="Z197" s="20" t="str">
        <f aca="false">IF(B197="XL","Hemizygous male AF (grpmax)","grpmax FAF95; check SAS, IndiGen, GenomeIndia")</f>
        <v>Hemizygous male AF (grpmax)</v>
      </c>
      <c r="AA197" s="20" t="s">
        <v>354</v>
      </c>
      <c r="AB197" s="20" t="s">
        <v>355</v>
      </c>
    </row>
    <row r="198" customFormat="false" ht="15" hidden="false" customHeight="false" outlineLevel="0" collapsed="false">
      <c r="A198" s="19" t="s">
        <v>356</v>
      </c>
      <c r="B198" s="20" t="s">
        <v>96</v>
      </c>
      <c r="C198" s="20" t="s">
        <v>357</v>
      </c>
      <c r="D198" s="21" t="n">
        <f aca="false">SUMIF(Indian_Gene_Shares!$B$5:$B$47,A198,Indian_Gene_Shares!$G$5:$G$47)</f>
        <v>0.000381838905775076</v>
      </c>
      <c r="E198" s="9" t="n">
        <f aca="false">IFERROR(INDEX(ARIDE_Cohort!$C$6:$C$207,MATCH(A198,ARIDE_Cohort!$A$6:$A$207,0)),0)</f>
        <v>0</v>
      </c>
      <c r="F198" s="22" t="n">
        <f aca="false">MAX(Inputs!$B$24,IF(AND(Inputs!$B$29="ARIDE cohort",ARIDE_Cohort!$B$3&gt;=Inputs!$B$30),E198,D198))</f>
        <v>0.01</v>
      </c>
      <c r="G198" s="20" t="str">
        <f aca="false">IF(AND(Inputs!$B$29="ARIDE cohort",ARIDE_Cohort!$B$3&gt;=Inputs!$B$30),IF(E198&gt;Inputs!$B$24,"ARIDE cohort","Floor (ARIDE share below floor)"),IF(D198&gt;Inputs!$B$24,"Indian literature",IF(D198&gt;0,"Floor (Indian share below floor)","Floor (no Indian data)")))</f>
        <v>Floor (Indian share below floor)</v>
      </c>
      <c r="H198" s="23" t="n">
        <f aca="false">IF(B198="AR",Inputs!$B$14,IF(B198="AD",Inputs!$B$15,Inputs!$B$16))</f>
        <v>1</v>
      </c>
      <c r="I198" s="12"/>
      <c r="J198" s="24" t="n">
        <f aca="false">IF(I198="",H198,I198)</f>
        <v>1</v>
      </c>
      <c r="K198" s="12"/>
      <c r="L198" s="24" t="n">
        <f aca="false">IF(K198="",Inputs!$B$20,K198)</f>
        <v>0.5</v>
      </c>
      <c r="M198" s="25" t="n">
        <f aca="false">IF(B198="AR",SQRT(Inputs!$B$9*F198/J198),IF(B198="AD",Inputs!$B$9*F198/(2*J198),2*Inputs!$B$9*F198/J198))</f>
        <v>0.00470090743184764</v>
      </c>
      <c r="N198" s="25" t="n">
        <f aca="false">IF(B198="AR",IF(Inputs!$B$25=0,SQRT(Inputs!$B$8*F198/J198),(-Inputs!$B$25+SQRT(Inputs!$B$25^2+4*(1-Inputs!$B$25)*Inputs!$B$8*F198/J198))/(2*(1-Inputs!$B$25))),IF(B198="AD",Inputs!$B$8*F198/(2*J198),2*Inputs!$B$8*F198/J198))</f>
        <v>0.00416319359719033</v>
      </c>
      <c r="O198" s="25" t="n">
        <f aca="false">MIN(Inputs!$B$26,M198*L198)</f>
        <v>0.00235045371592382</v>
      </c>
      <c r="P198" s="25" t="n">
        <f aca="false">MIN(Inputs!$B$26,O198*Inputs!$B$19)</f>
        <v>0.0235045371592382</v>
      </c>
      <c r="Q198" s="25" t="n">
        <f aca="false">MIN(O198,N198*Inputs!$B$21)</f>
        <v>0.000208159679859516</v>
      </c>
      <c r="R198" s="26"/>
      <c r="S198" s="26"/>
      <c r="T198" s="26"/>
      <c r="U198" s="20" t="str">
        <f aca="false">IF(COUNT(R198:T198)&gt;0,"Published spec (+calc where blank)","Calculated (this workbook)")</f>
        <v>Calculated (this workbook)</v>
      </c>
      <c r="V198" s="28" t="n">
        <f aca="false">IF(R198="",MAX(P198,W198),R198)</f>
        <v>0.0235045371592382</v>
      </c>
      <c r="W198" s="28" t="n">
        <f aca="false">IF(S198="",O198,S198)</f>
        <v>0.00235045371592382</v>
      </c>
      <c r="X198" s="28" t="n">
        <f aca="false">IF(T198="",Q198,T198)</f>
        <v>0.000208159679859516</v>
      </c>
      <c r="Y198" s="20" t="str">
        <f aca="false">IF(S198="","",IF(O198&lt;S198,"Calc STRICTER (lower)","Calc more lenient (higher)"))</f>
        <v/>
      </c>
      <c r="Z198" s="20" t="str">
        <f aca="false">IF(B198="XL","Hemizygous male AF (grpmax)","grpmax FAF95; check SAS, IndiGen, GenomeIndia")</f>
        <v>grpmax FAF95; check SAS, IndiGen, GenomeIndia</v>
      </c>
      <c r="AA198" s="20"/>
      <c r="AB198" s="20"/>
    </row>
    <row r="199" customFormat="false" ht="15" hidden="false" customHeight="false" outlineLevel="0" collapsed="false">
      <c r="A199" s="19" t="s">
        <v>358</v>
      </c>
      <c r="B199" s="20" t="s">
        <v>96</v>
      </c>
      <c r="C199" s="20" t="s">
        <v>112</v>
      </c>
      <c r="D199" s="21" t="n">
        <f aca="false">SUMIF(Indian_Gene_Shares!$B$5:$B$47,A199,Indian_Gene_Shares!$G$5:$G$47)</f>
        <v>0.000555119680851064</v>
      </c>
      <c r="E199" s="9" t="n">
        <f aca="false">IFERROR(INDEX(ARIDE_Cohort!$C$6:$C$207,MATCH(A199,ARIDE_Cohort!$A$6:$A$207,0)),0)</f>
        <v>0</v>
      </c>
      <c r="F199" s="22" t="n">
        <f aca="false">MAX(Inputs!$B$24,IF(AND(Inputs!$B$29="ARIDE cohort",ARIDE_Cohort!$B$3&gt;=Inputs!$B$30),E199,D199))</f>
        <v>0.01</v>
      </c>
      <c r="G199" s="20" t="str">
        <f aca="false">IF(AND(Inputs!$B$29="ARIDE cohort",ARIDE_Cohort!$B$3&gt;=Inputs!$B$30),IF(E199&gt;Inputs!$B$24,"ARIDE cohort","Floor (ARIDE share below floor)"),IF(D199&gt;Inputs!$B$24,"Indian literature",IF(D199&gt;0,"Floor (Indian share below floor)","Floor (no Indian data)")))</f>
        <v>Floor (Indian share below floor)</v>
      </c>
      <c r="H199" s="23" t="n">
        <f aca="false">IF(B199="AR",Inputs!$B$14,IF(B199="AD",Inputs!$B$15,Inputs!$B$16))</f>
        <v>1</v>
      </c>
      <c r="I199" s="12"/>
      <c r="J199" s="24" t="n">
        <f aca="false">IF(I199="",H199,I199)</f>
        <v>1</v>
      </c>
      <c r="K199" s="12"/>
      <c r="L199" s="24" t="n">
        <f aca="false">IF(K199="",Inputs!$B$20,K199)</f>
        <v>0.5</v>
      </c>
      <c r="M199" s="25" t="n">
        <f aca="false">IF(B199="AR",SQRT(Inputs!$B$9*F199/J199),IF(B199="AD",Inputs!$B$9*F199/(2*J199),2*Inputs!$B$9*F199/J199))</f>
        <v>0.00470090743184764</v>
      </c>
      <c r="N199" s="25" t="n">
        <f aca="false">IF(B199="AR",IF(Inputs!$B$25=0,SQRT(Inputs!$B$8*F199/J199),(-Inputs!$B$25+SQRT(Inputs!$B$25^2+4*(1-Inputs!$B$25)*Inputs!$B$8*F199/J199))/(2*(1-Inputs!$B$25))),IF(B199="AD",Inputs!$B$8*F199/(2*J199),2*Inputs!$B$8*F199/J199))</f>
        <v>0.00416319359719033</v>
      </c>
      <c r="O199" s="25" t="n">
        <f aca="false">MIN(Inputs!$B$26,M199*L199)</f>
        <v>0.00235045371592382</v>
      </c>
      <c r="P199" s="25" t="n">
        <f aca="false">MIN(Inputs!$B$26,O199*Inputs!$B$19)</f>
        <v>0.0235045371592382</v>
      </c>
      <c r="Q199" s="25" t="n">
        <f aca="false">MIN(O199,N199*Inputs!$B$21)</f>
        <v>0.000208159679859516</v>
      </c>
      <c r="R199" s="26"/>
      <c r="S199" s="26"/>
      <c r="T199" s="26"/>
      <c r="U199" s="20" t="str">
        <f aca="false">IF(COUNT(R199:T199)&gt;0,"Published spec (+calc where blank)","Calculated (this workbook)")</f>
        <v>Calculated (this workbook)</v>
      </c>
      <c r="V199" s="28" t="n">
        <f aca="false">IF(R199="",MAX(P199,W199),R199)</f>
        <v>0.0235045371592382</v>
      </c>
      <c r="W199" s="28" t="n">
        <f aca="false">IF(S199="",O199,S199)</f>
        <v>0.00235045371592382</v>
      </c>
      <c r="X199" s="28" t="n">
        <f aca="false">IF(T199="",Q199,T199)</f>
        <v>0.000208159679859516</v>
      </c>
      <c r="Y199" s="20" t="str">
        <f aca="false">IF(S199="","",IF(O199&lt;S199,"Calc STRICTER (lower)","Calc more lenient (higher)"))</f>
        <v/>
      </c>
      <c r="Z199" s="20" t="str">
        <f aca="false">IF(B199="XL","Hemizygous male AF (grpmax)","grpmax FAF95; check SAS, IndiGen, GenomeIndia")</f>
        <v>grpmax FAF95; check SAS, IndiGen, GenomeIndia</v>
      </c>
      <c r="AA199" s="20"/>
      <c r="AB199" s="20"/>
    </row>
    <row r="200" customFormat="false" ht="15" hidden="false" customHeight="false" outlineLevel="0" collapsed="false">
      <c r="A200" s="19" t="s">
        <v>359</v>
      </c>
      <c r="B200" s="20" t="s">
        <v>149</v>
      </c>
      <c r="C200" s="20" t="s">
        <v>360</v>
      </c>
      <c r="D200" s="21" t="n">
        <f aca="false">SUMIF(Indian_Gene_Shares!$B$5:$B$47,A200,Indian_Gene_Shares!$G$5:$G$47)</f>
        <v>0.0052241641337386</v>
      </c>
      <c r="E200" s="9" t="n">
        <f aca="false">IFERROR(INDEX(ARIDE_Cohort!$C$6:$C$207,MATCH(A200,ARIDE_Cohort!$A$6:$A$207,0)),0)</f>
        <v>0</v>
      </c>
      <c r="F200" s="22" t="n">
        <f aca="false">MAX(Inputs!$B$24,IF(AND(Inputs!$B$29="ARIDE cohort",ARIDE_Cohort!$B$3&gt;=Inputs!$B$30),E200,D200))</f>
        <v>0.01</v>
      </c>
      <c r="G200" s="20" t="str">
        <f aca="false">IF(AND(Inputs!$B$29="ARIDE cohort",ARIDE_Cohort!$B$3&gt;=Inputs!$B$30),IF(E200&gt;Inputs!$B$24,"ARIDE cohort","Floor (ARIDE share below floor)"),IF(D200&gt;Inputs!$B$24,"Indian literature",IF(D200&gt;0,"Floor (Indian share below floor)","Floor (no Indian data)")))</f>
        <v>Floor (Indian share below floor)</v>
      </c>
      <c r="H200" s="23" t="n">
        <f aca="false">IF(B200="AR",Inputs!$B$14,IF(B200="AD",Inputs!$B$15,Inputs!$B$16))</f>
        <v>1</v>
      </c>
      <c r="I200" s="12"/>
      <c r="J200" s="24" t="n">
        <f aca="false">IF(I200="",H200,I200)</f>
        <v>1</v>
      </c>
      <c r="K200" s="12"/>
      <c r="L200" s="24" t="n">
        <f aca="false">IF(K200="",Inputs!$B$20,K200)</f>
        <v>0.5</v>
      </c>
      <c r="M200" s="25" t="n">
        <f aca="false">IF(B200="AR",SQRT(Inputs!$B$9*F200/J200),IF(B200="AD",Inputs!$B$9*F200/(2*J200),2*Inputs!$B$9*F200/J200))</f>
        <v>4.41970613656007E-005</v>
      </c>
      <c r="N200" s="25" t="n">
        <f aca="false">IF(B200="AR",IF(Inputs!$B$25=0,SQRT(Inputs!$B$8*F200/J200),(-Inputs!$B$25+SQRT(Inputs!$B$25^2+4*(1-Inputs!$B$25)*Inputs!$B$8*F200/J200))/(2*(1-Inputs!$B$25))),IF(B200="AD",Inputs!$B$8*F200/(2*J200),2*Inputs!$B$8*F200/J200))</f>
        <v>3.46643618553731E-005</v>
      </c>
      <c r="O200" s="25" t="n">
        <f aca="false">MIN(Inputs!$B$26,M200*L200)</f>
        <v>2.20985306828003E-005</v>
      </c>
      <c r="P200" s="25" t="n">
        <f aca="false">MIN(Inputs!$B$26,O200*Inputs!$B$19)</f>
        <v>0.000220985306828003</v>
      </c>
      <c r="Q200" s="25" t="n">
        <f aca="false">MIN(O200,N200*Inputs!$B$21)</f>
        <v>1.73321809276865E-006</v>
      </c>
      <c r="R200" s="27" t="n">
        <v>0.0002</v>
      </c>
      <c r="S200" s="27" t="n">
        <v>2E-005</v>
      </c>
      <c r="T200" s="27" t="n">
        <v>2E-006</v>
      </c>
      <c r="U200" s="20" t="str">
        <f aca="false">IF(COUNT(R200:T200)&gt;0,"Published spec (+calc where blank)","Calculated (this workbook)")</f>
        <v>Published spec (+calc where blank)</v>
      </c>
      <c r="V200" s="28" t="n">
        <f aca="false">IF(R200="",MAX(P200,W200),R200)</f>
        <v>0.0002</v>
      </c>
      <c r="W200" s="28" t="n">
        <f aca="false">IF(S200="",O200,S200)</f>
        <v>2E-005</v>
      </c>
      <c r="X200" s="28" t="n">
        <f aca="false">IF(T200="",Q200,T200)</f>
        <v>2E-006</v>
      </c>
      <c r="Y200" s="20" t="str">
        <f aca="false">IF(S200="","",IF(O200&lt;S200,"Calc STRICTER (lower)","Calc more lenient (higher)"))</f>
        <v>Calc more lenient (higher)</v>
      </c>
      <c r="Z200" s="20" t="str">
        <f aca="false">IF(B200="XL","Hemizygous male AF (grpmax)","grpmax FAF95; check SAS, IndiGen, GenomeIndia")</f>
        <v>Hemizygous male AF (grpmax)</v>
      </c>
      <c r="AA200" s="20" t="s">
        <v>361</v>
      </c>
      <c r="AB200" s="20" t="s">
        <v>355</v>
      </c>
    </row>
    <row r="201" customFormat="false" ht="15" hidden="false" customHeight="false" outlineLevel="0" collapsed="false">
      <c r="A201" s="19" t="s">
        <v>362</v>
      </c>
      <c r="B201" s="20" t="s">
        <v>96</v>
      </c>
      <c r="C201" s="20" t="s">
        <v>363</v>
      </c>
      <c r="D201" s="21" t="n">
        <f aca="false">SUMIF(Indian_Gene_Shares!$B$5:$B$47,A201,Indian_Gene_Shares!$G$5:$G$47)</f>
        <v>0</v>
      </c>
      <c r="E201" s="9" t="n">
        <f aca="false">IFERROR(INDEX(ARIDE_Cohort!$C$6:$C$207,MATCH(A201,ARIDE_Cohort!$A$6:$A$207,0)),0)</f>
        <v>0</v>
      </c>
      <c r="F201" s="22" t="n">
        <f aca="false">MAX(Inputs!$B$24,IF(AND(Inputs!$B$29="ARIDE cohort",ARIDE_Cohort!$B$3&gt;=Inputs!$B$30),E201,D201))</f>
        <v>0.01</v>
      </c>
      <c r="G201" s="20" t="str">
        <f aca="false">IF(AND(Inputs!$B$29="ARIDE cohort",ARIDE_Cohort!$B$3&gt;=Inputs!$B$30),IF(E201&gt;Inputs!$B$24,"ARIDE cohort","Floor (ARIDE share below floor)"),IF(D201&gt;Inputs!$B$24,"Indian literature",IF(D201&gt;0,"Floor (Indian share below floor)","Floor (no Indian data)")))</f>
        <v>Floor (no Indian data)</v>
      </c>
      <c r="H201" s="23" t="n">
        <f aca="false">IF(B201="AR",Inputs!$B$14,IF(B201="AD",Inputs!$B$15,Inputs!$B$16))</f>
        <v>1</v>
      </c>
      <c r="I201" s="12"/>
      <c r="J201" s="24" t="n">
        <f aca="false">IF(I201="",H201,I201)</f>
        <v>1</v>
      </c>
      <c r="K201" s="12"/>
      <c r="L201" s="24" t="n">
        <f aca="false">IF(K201="",Inputs!$B$20,K201)</f>
        <v>0.5</v>
      </c>
      <c r="M201" s="25" t="n">
        <f aca="false">IF(B201="AR",SQRT(Inputs!$B$9*F201/J201),IF(B201="AD",Inputs!$B$9*F201/(2*J201),2*Inputs!$B$9*F201/J201))</f>
        <v>0.00470090743184764</v>
      </c>
      <c r="N201" s="25" t="n">
        <f aca="false">IF(B201="AR",IF(Inputs!$B$25=0,SQRT(Inputs!$B$8*F201/J201),(-Inputs!$B$25+SQRT(Inputs!$B$25^2+4*(1-Inputs!$B$25)*Inputs!$B$8*F201/J201))/(2*(1-Inputs!$B$25))),IF(B201="AD",Inputs!$B$8*F201/(2*J201),2*Inputs!$B$8*F201/J201))</f>
        <v>0.00416319359719033</v>
      </c>
      <c r="O201" s="25" t="n">
        <f aca="false">MIN(Inputs!$B$26,M201*L201)</f>
        <v>0.00235045371592382</v>
      </c>
      <c r="P201" s="25" t="n">
        <f aca="false">MIN(Inputs!$B$26,O201*Inputs!$B$19)</f>
        <v>0.0235045371592382</v>
      </c>
      <c r="Q201" s="25" t="n">
        <f aca="false">MIN(O201,N201*Inputs!$B$21)</f>
        <v>0.000208159679859516</v>
      </c>
      <c r="R201" s="26"/>
      <c r="S201" s="26"/>
      <c r="T201" s="26"/>
      <c r="U201" s="20" t="str">
        <f aca="false">IF(COUNT(R201:T201)&gt;0,"Published spec (+calc where blank)","Calculated (this workbook)")</f>
        <v>Calculated (this workbook)</v>
      </c>
      <c r="V201" s="28" t="n">
        <f aca="false">IF(R201="",MAX(P201,W201),R201)</f>
        <v>0.0235045371592382</v>
      </c>
      <c r="W201" s="28" t="n">
        <f aca="false">IF(S201="",O201,S201)</f>
        <v>0.00235045371592382</v>
      </c>
      <c r="X201" s="28" t="n">
        <f aca="false">IF(T201="",Q201,T201)</f>
        <v>0.000208159679859516</v>
      </c>
      <c r="Y201" s="20" t="str">
        <f aca="false">IF(S201="","",IF(O201&lt;S201,"Calc STRICTER (lower)","Calc more lenient (higher)"))</f>
        <v/>
      </c>
      <c r="Z201" s="20" t="str">
        <f aca="false">IF(B201="XL","Hemizygous male AF (grpmax)","grpmax FAF95; check SAS, IndiGen, GenomeIndia")</f>
        <v>grpmax FAF95; check SAS, IndiGen, GenomeIndia</v>
      </c>
      <c r="AA201" s="20"/>
      <c r="AB201" s="20"/>
    </row>
    <row r="202" customFormat="false" ht="15" hidden="false" customHeight="false" outlineLevel="0" collapsed="false">
      <c r="A202" s="19" t="s">
        <v>362</v>
      </c>
      <c r="B202" s="20" t="s">
        <v>109</v>
      </c>
      <c r="C202" s="20" t="s">
        <v>105</v>
      </c>
      <c r="D202" s="21" t="n">
        <f aca="false">SUMIF(Indian_Gene_Shares!$B$5:$B$47,A202,Indian_Gene_Shares!$G$5:$G$47)</f>
        <v>0</v>
      </c>
      <c r="E202" s="9" t="n">
        <f aca="false">IFERROR(INDEX(ARIDE_Cohort!$C$6:$C$207,MATCH(A202,ARIDE_Cohort!$A$6:$A$207,0)),0)</f>
        <v>0</v>
      </c>
      <c r="F202" s="22" t="n">
        <f aca="false">MAX(Inputs!$B$24,IF(AND(Inputs!$B$29="ARIDE cohort",ARIDE_Cohort!$B$3&gt;=Inputs!$B$30),E202,D202))</f>
        <v>0.01</v>
      </c>
      <c r="G202" s="20" t="str">
        <f aca="false">IF(AND(Inputs!$B$29="ARIDE cohort",ARIDE_Cohort!$B$3&gt;=Inputs!$B$30),IF(E202&gt;Inputs!$B$24,"ARIDE cohort","Floor (ARIDE share below floor)"),IF(D202&gt;Inputs!$B$24,"Indian literature",IF(D202&gt;0,"Floor (Indian share below floor)","Floor (no Indian data)")))</f>
        <v>Floor (no Indian data)</v>
      </c>
      <c r="H202" s="23" t="n">
        <f aca="false">IF(B202="AR",Inputs!$B$14,IF(B202="AD",Inputs!$B$15,Inputs!$B$16))</f>
        <v>0.5</v>
      </c>
      <c r="I202" s="12"/>
      <c r="J202" s="24" t="n">
        <f aca="false">IF(I202="",H202,I202)</f>
        <v>0.5</v>
      </c>
      <c r="K202" s="12"/>
      <c r="L202" s="24" t="n">
        <f aca="false">IF(K202="",Inputs!$B$20,K202)</f>
        <v>0.5</v>
      </c>
      <c r="M202" s="25" t="n">
        <f aca="false">IF(B202="AR",SQRT(Inputs!$B$9*F202/J202),IF(B202="AD",Inputs!$B$9*F202/(2*J202),2*Inputs!$B$9*F202/J202))</f>
        <v>2.20985306828003E-005</v>
      </c>
      <c r="N202" s="25" t="n">
        <f aca="false">IF(B202="AR",IF(Inputs!$B$25=0,SQRT(Inputs!$B$8*F202/J202),(-Inputs!$B$25+SQRT(Inputs!$B$25^2+4*(1-Inputs!$B$25)*Inputs!$B$8*F202/J202))/(2*(1-Inputs!$B$25))),IF(B202="AD",Inputs!$B$8*F202/(2*J202),2*Inputs!$B$8*F202/J202))</f>
        <v>1.73321809276865E-005</v>
      </c>
      <c r="O202" s="25" t="n">
        <f aca="false">MIN(Inputs!$B$26,M202*L202)</f>
        <v>1.10492653414002E-005</v>
      </c>
      <c r="P202" s="25" t="n">
        <f aca="false">MIN(Inputs!$B$26,O202*Inputs!$B$19)</f>
        <v>0.000110492653414002</v>
      </c>
      <c r="Q202" s="25" t="n">
        <f aca="false">MIN(O202,N202*Inputs!$B$21)</f>
        <v>8.66609046384327E-007</v>
      </c>
      <c r="R202" s="26"/>
      <c r="S202" s="26"/>
      <c r="T202" s="26"/>
      <c r="U202" s="20" t="str">
        <f aca="false">IF(COUNT(R202:T202)&gt;0,"Published spec (+calc where blank)","Calculated (this workbook)")</f>
        <v>Calculated (this workbook)</v>
      </c>
      <c r="V202" s="28" t="n">
        <f aca="false">IF(R202="",MAX(P202,W202),R202)</f>
        <v>0.000110492653414002</v>
      </c>
      <c r="W202" s="28" t="n">
        <f aca="false">IF(S202="",O202,S202)</f>
        <v>1.10492653414002E-005</v>
      </c>
      <c r="X202" s="28" t="n">
        <f aca="false">IF(T202="",Q202,T202)</f>
        <v>8.66609046384327E-007</v>
      </c>
      <c r="Y202" s="20" t="str">
        <f aca="false">IF(S202="","",IF(O202&lt;S202,"Calc STRICTER (lower)","Calc more lenient (higher)"))</f>
        <v/>
      </c>
      <c r="Z202" s="20" t="str">
        <f aca="false">IF(B202="XL","Hemizygous male AF (grpmax)","grpmax FAF95; check SAS, IndiGen, GenomeIndia")</f>
        <v>grpmax FAF95; check SAS, IndiGen, GenomeIndia</v>
      </c>
      <c r="AA202" s="20"/>
      <c r="AB202" s="20"/>
    </row>
    <row r="203" customFormat="false" ht="15" hidden="false" customHeight="false" outlineLevel="0" collapsed="false">
      <c r="A203" s="19" t="s">
        <v>364</v>
      </c>
      <c r="B203" s="20" t="s">
        <v>96</v>
      </c>
      <c r="C203" s="20" t="s">
        <v>105</v>
      </c>
      <c r="D203" s="21" t="n">
        <f aca="false">SUMIF(Indian_Gene_Shares!$B$5:$B$47,A203,Indian_Gene_Shares!$G$5:$G$47)</f>
        <v>0</v>
      </c>
      <c r="E203" s="9" t="n">
        <f aca="false">IFERROR(INDEX(ARIDE_Cohort!$C$6:$C$207,MATCH(A203,ARIDE_Cohort!$A$6:$A$207,0)),0)</f>
        <v>0</v>
      </c>
      <c r="F203" s="22" t="n">
        <f aca="false">MAX(Inputs!$B$24,IF(AND(Inputs!$B$29="ARIDE cohort",ARIDE_Cohort!$B$3&gt;=Inputs!$B$30),E203,D203))</f>
        <v>0.01</v>
      </c>
      <c r="G203" s="20" t="str">
        <f aca="false">IF(AND(Inputs!$B$29="ARIDE cohort",ARIDE_Cohort!$B$3&gt;=Inputs!$B$30),IF(E203&gt;Inputs!$B$24,"ARIDE cohort","Floor (ARIDE share below floor)"),IF(D203&gt;Inputs!$B$24,"Indian literature",IF(D203&gt;0,"Floor (Indian share below floor)","Floor (no Indian data)")))</f>
        <v>Floor (no Indian data)</v>
      </c>
      <c r="H203" s="23" t="n">
        <f aca="false">IF(B203="AR",Inputs!$B$14,IF(B203="AD",Inputs!$B$15,Inputs!$B$16))</f>
        <v>1</v>
      </c>
      <c r="I203" s="12"/>
      <c r="J203" s="24" t="n">
        <f aca="false">IF(I203="",H203,I203)</f>
        <v>1</v>
      </c>
      <c r="K203" s="12"/>
      <c r="L203" s="24" t="n">
        <f aca="false">IF(K203="",Inputs!$B$20,K203)</f>
        <v>0.5</v>
      </c>
      <c r="M203" s="25" t="n">
        <f aca="false">IF(B203="AR",SQRT(Inputs!$B$9*F203/J203),IF(B203="AD",Inputs!$B$9*F203/(2*J203),2*Inputs!$B$9*F203/J203))</f>
        <v>0.00470090743184764</v>
      </c>
      <c r="N203" s="25" t="n">
        <f aca="false">IF(B203="AR",IF(Inputs!$B$25=0,SQRT(Inputs!$B$8*F203/J203),(-Inputs!$B$25+SQRT(Inputs!$B$25^2+4*(1-Inputs!$B$25)*Inputs!$B$8*F203/J203))/(2*(1-Inputs!$B$25))),IF(B203="AD",Inputs!$B$8*F203/(2*J203),2*Inputs!$B$8*F203/J203))</f>
        <v>0.00416319359719033</v>
      </c>
      <c r="O203" s="25" t="n">
        <f aca="false">MIN(Inputs!$B$26,M203*L203)</f>
        <v>0.00235045371592382</v>
      </c>
      <c r="P203" s="25" t="n">
        <f aca="false">MIN(Inputs!$B$26,O203*Inputs!$B$19)</f>
        <v>0.0235045371592382</v>
      </c>
      <c r="Q203" s="25" t="n">
        <f aca="false">MIN(O203,N203*Inputs!$B$21)</f>
        <v>0.000208159679859516</v>
      </c>
      <c r="R203" s="26"/>
      <c r="S203" s="26"/>
      <c r="T203" s="26"/>
      <c r="U203" s="20" t="str">
        <f aca="false">IF(COUNT(R203:T203)&gt;0,"Published spec (+calc where blank)","Calculated (this workbook)")</f>
        <v>Calculated (this workbook)</v>
      </c>
      <c r="V203" s="28" t="n">
        <f aca="false">IF(R203="",MAX(P203,W203),R203)</f>
        <v>0.0235045371592382</v>
      </c>
      <c r="W203" s="28" t="n">
        <f aca="false">IF(S203="",O203,S203)</f>
        <v>0.00235045371592382</v>
      </c>
      <c r="X203" s="28" t="n">
        <f aca="false">IF(T203="",Q203,T203)</f>
        <v>0.000208159679859516</v>
      </c>
      <c r="Y203" s="20" t="str">
        <f aca="false">IF(S203="","",IF(O203&lt;S203,"Calc STRICTER (lower)","Calc more lenient (higher)"))</f>
        <v/>
      </c>
      <c r="Z203" s="20" t="str">
        <f aca="false">IF(B203="XL","Hemizygous male AF (grpmax)","grpmax FAF95; check SAS, IndiGen, GenomeIndia")</f>
        <v>grpmax FAF95; check SAS, IndiGen, GenomeIndia</v>
      </c>
      <c r="AA203" s="20"/>
      <c r="AB203" s="20"/>
    </row>
    <row r="204" customFormat="false" ht="15" hidden="false" customHeight="false" outlineLevel="0" collapsed="false">
      <c r="A204" s="19" t="s">
        <v>365</v>
      </c>
      <c r="B204" s="20" t="s">
        <v>96</v>
      </c>
      <c r="C204" s="20" t="s">
        <v>366</v>
      </c>
      <c r="D204" s="21" t="n">
        <f aca="false">SUMIF(Indian_Gene_Shares!$B$5:$B$47,A204,Indian_Gene_Shares!$G$5:$G$47)</f>
        <v>0</v>
      </c>
      <c r="E204" s="9" t="n">
        <f aca="false">IFERROR(INDEX(ARIDE_Cohort!$C$6:$C$207,MATCH(A204,ARIDE_Cohort!$A$6:$A$207,0)),0)</f>
        <v>0</v>
      </c>
      <c r="F204" s="22" t="n">
        <f aca="false">MAX(Inputs!$B$24,IF(AND(Inputs!$B$29="ARIDE cohort",ARIDE_Cohort!$B$3&gt;=Inputs!$B$30),E204,D204))</f>
        <v>0.01</v>
      </c>
      <c r="G204" s="20" t="str">
        <f aca="false">IF(AND(Inputs!$B$29="ARIDE cohort",ARIDE_Cohort!$B$3&gt;=Inputs!$B$30),IF(E204&gt;Inputs!$B$24,"ARIDE cohort","Floor (ARIDE share below floor)"),IF(D204&gt;Inputs!$B$24,"Indian literature",IF(D204&gt;0,"Floor (Indian share below floor)","Floor (no Indian data)")))</f>
        <v>Floor (no Indian data)</v>
      </c>
      <c r="H204" s="23" t="n">
        <f aca="false">IF(B204="AR",Inputs!$B$14,IF(B204="AD",Inputs!$B$15,Inputs!$B$16))</f>
        <v>1</v>
      </c>
      <c r="I204" s="12"/>
      <c r="J204" s="24" t="n">
        <f aca="false">IF(I204="",H204,I204)</f>
        <v>1</v>
      </c>
      <c r="K204" s="12"/>
      <c r="L204" s="24" t="n">
        <f aca="false">IF(K204="",Inputs!$B$20,K204)</f>
        <v>0.5</v>
      </c>
      <c r="M204" s="25" t="n">
        <f aca="false">IF(B204="AR",SQRT(Inputs!$B$9*F204/J204),IF(B204="AD",Inputs!$B$9*F204/(2*J204),2*Inputs!$B$9*F204/J204))</f>
        <v>0.00470090743184764</v>
      </c>
      <c r="N204" s="25" t="n">
        <f aca="false">IF(B204="AR",IF(Inputs!$B$25=0,SQRT(Inputs!$B$8*F204/J204),(-Inputs!$B$25+SQRT(Inputs!$B$25^2+4*(1-Inputs!$B$25)*Inputs!$B$8*F204/J204))/(2*(1-Inputs!$B$25))),IF(B204="AD",Inputs!$B$8*F204/(2*J204),2*Inputs!$B$8*F204/J204))</f>
        <v>0.00416319359719033</v>
      </c>
      <c r="O204" s="25" t="n">
        <f aca="false">MIN(Inputs!$B$26,M204*L204)</f>
        <v>0.00235045371592382</v>
      </c>
      <c r="P204" s="25" t="n">
        <f aca="false">MIN(Inputs!$B$26,O204*Inputs!$B$19)</f>
        <v>0.0235045371592382</v>
      </c>
      <c r="Q204" s="25" t="n">
        <f aca="false">MIN(O204,N204*Inputs!$B$21)</f>
        <v>0.000208159679859516</v>
      </c>
      <c r="R204" s="26"/>
      <c r="S204" s="26"/>
      <c r="T204" s="26"/>
      <c r="U204" s="20" t="str">
        <f aca="false">IF(COUNT(R204:T204)&gt;0,"Published spec (+calc where blank)","Calculated (this workbook)")</f>
        <v>Calculated (this workbook)</v>
      </c>
      <c r="V204" s="28" t="n">
        <f aca="false">IF(R204="",MAX(P204,W204),R204)</f>
        <v>0.0235045371592382</v>
      </c>
      <c r="W204" s="28" t="n">
        <f aca="false">IF(S204="",O204,S204)</f>
        <v>0.00235045371592382</v>
      </c>
      <c r="X204" s="28" t="n">
        <f aca="false">IF(T204="",Q204,T204)</f>
        <v>0.000208159679859516</v>
      </c>
      <c r="Y204" s="20" t="str">
        <f aca="false">IF(S204="","",IF(O204&lt;S204,"Calc STRICTER (lower)","Calc more lenient (higher)"))</f>
        <v/>
      </c>
      <c r="Z204" s="20" t="str">
        <f aca="false">IF(B204="XL","Hemizygous male AF (grpmax)","grpmax FAF95; check SAS, IndiGen, GenomeIndia")</f>
        <v>grpmax FAF95; check SAS, IndiGen, GenomeIndia</v>
      </c>
      <c r="AA204" s="20"/>
      <c r="AB204" s="20"/>
    </row>
    <row r="205" customFormat="false" ht="15" hidden="false" customHeight="false" outlineLevel="0" collapsed="false">
      <c r="A205" s="19" t="s">
        <v>367</v>
      </c>
      <c r="B205" s="20" t="s">
        <v>109</v>
      </c>
      <c r="C205" s="20" t="s">
        <v>170</v>
      </c>
      <c r="D205" s="21" t="n">
        <f aca="false">SUMIF(Indian_Gene_Shares!$B$5:$B$47,A205,Indian_Gene_Shares!$G$5:$G$47)</f>
        <v>0</v>
      </c>
      <c r="E205" s="9" t="n">
        <f aca="false">IFERROR(INDEX(ARIDE_Cohort!$C$6:$C$207,MATCH(A205,ARIDE_Cohort!$A$6:$A$207,0)),0)</f>
        <v>0</v>
      </c>
      <c r="F205" s="22" t="n">
        <f aca="false">MAX(Inputs!$B$24,IF(AND(Inputs!$B$29="ARIDE cohort",ARIDE_Cohort!$B$3&gt;=Inputs!$B$30),E205,D205))</f>
        <v>0.01</v>
      </c>
      <c r="G205" s="20" t="str">
        <f aca="false">IF(AND(Inputs!$B$29="ARIDE cohort",ARIDE_Cohort!$B$3&gt;=Inputs!$B$30),IF(E205&gt;Inputs!$B$24,"ARIDE cohort","Floor (ARIDE share below floor)"),IF(D205&gt;Inputs!$B$24,"Indian literature",IF(D205&gt;0,"Floor (Indian share below floor)","Floor (no Indian data)")))</f>
        <v>Floor (no Indian data)</v>
      </c>
      <c r="H205" s="23" t="n">
        <f aca="false">IF(B205="AR",Inputs!$B$14,IF(B205="AD",Inputs!$B$15,Inputs!$B$16))</f>
        <v>0.5</v>
      </c>
      <c r="I205" s="12"/>
      <c r="J205" s="24" t="n">
        <f aca="false">IF(I205="",H205,I205)</f>
        <v>0.5</v>
      </c>
      <c r="K205" s="12"/>
      <c r="L205" s="24" t="n">
        <f aca="false">IF(K205="",Inputs!$B$20,K205)</f>
        <v>0.5</v>
      </c>
      <c r="M205" s="25" t="n">
        <f aca="false">IF(B205="AR",SQRT(Inputs!$B$9*F205/J205),IF(B205="AD",Inputs!$B$9*F205/(2*J205),2*Inputs!$B$9*F205/J205))</f>
        <v>2.20985306828003E-005</v>
      </c>
      <c r="N205" s="25" t="n">
        <f aca="false">IF(B205="AR",IF(Inputs!$B$25=0,SQRT(Inputs!$B$8*F205/J205),(-Inputs!$B$25+SQRT(Inputs!$B$25^2+4*(1-Inputs!$B$25)*Inputs!$B$8*F205/J205))/(2*(1-Inputs!$B$25))),IF(B205="AD",Inputs!$B$8*F205/(2*J205),2*Inputs!$B$8*F205/J205))</f>
        <v>1.73321809276865E-005</v>
      </c>
      <c r="O205" s="25" t="n">
        <f aca="false">MIN(Inputs!$B$26,M205*L205)</f>
        <v>1.10492653414002E-005</v>
      </c>
      <c r="P205" s="25" t="n">
        <f aca="false">MIN(Inputs!$B$26,O205*Inputs!$B$19)</f>
        <v>0.000110492653414002</v>
      </c>
      <c r="Q205" s="25" t="n">
        <f aca="false">MIN(O205,N205*Inputs!$B$21)</f>
        <v>8.66609046384327E-007</v>
      </c>
      <c r="R205" s="26"/>
      <c r="S205" s="26"/>
      <c r="T205" s="26"/>
      <c r="U205" s="20" t="str">
        <f aca="false">IF(COUNT(R205:T205)&gt;0,"Published spec (+calc where blank)","Calculated (this workbook)")</f>
        <v>Calculated (this workbook)</v>
      </c>
      <c r="V205" s="28" t="n">
        <f aca="false">IF(R205="",MAX(P205,W205),R205)</f>
        <v>0.000110492653414002</v>
      </c>
      <c r="W205" s="28" t="n">
        <f aca="false">IF(S205="",O205,S205)</f>
        <v>1.10492653414002E-005</v>
      </c>
      <c r="X205" s="28" t="n">
        <f aca="false">IF(T205="",Q205,T205)</f>
        <v>8.66609046384327E-007</v>
      </c>
      <c r="Y205" s="20" t="str">
        <f aca="false">IF(S205="","",IF(O205&lt;S205,"Calc STRICTER (lower)","Calc more lenient (higher)"))</f>
        <v/>
      </c>
      <c r="Z205" s="20" t="str">
        <f aca="false">IF(B205="XL","Hemizygous male AF (grpmax)","grpmax FAF95; check SAS, IndiGen, GenomeIndia")</f>
        <v>grpmax FAF95; check SAS, IndiGen, GenomeIndia</v>
      </c>
      <c r="AA205" s="20"/>
      <c r="AB205" s="20"/>
    </row>
    <row r="206" customFormat="false" ht="15" hidden="false" customHeight="false" outlineLevel="0" collapsed="false">
      <c r="A206" s="19" t="s">
        <v>368</v>
      </c>
      <c r="B206" s="20" t="s">
        <v>96</v>
      </c>
      <c r="C206" s="20" t="s">
        <v>213</v>
      </c>
      <c r="D206" s="21" t="n">
        <f aca="false">SUMIF(Indian_Gene_Shares!$B$5:$B$47,A206,Indian_Gene_Shares!$G$5:$G$47)</f>
        <v>0</v>
      </c>
      <c r="E206" s="9" t="n">
        <f aca="false">IFERROR(INDEX(ARIDE_Cohort!$C$6:$C$207,MATCH(A206,ARIDE_Cohort!$A$6:$A$207,0)),0)</f>
        <v>0</v>
      </c>
      <c r="F206" s="22" t="n">
        <f aca="false">MAX(Inputs!$B$24,IF(AND(Inputs!$B$29="ARIDE cohort",ARIDE_Cohort!$B$3&gt;=Inputs!$B$30),E206,D206))</f>
        <v>0.01</v>
      </c>
      <c r="G206" s="20" t="str">
        <f aca="false">IF(AND(Inputs!$B$29="ARIDE cohort",ARIDE_Cohort!$B$3&gt;=Inputs!$B$30),IF(E206&gt;Inputs!$B$24,"ARIDE cohort","Floor (ARIDE share below floor)"),IF(D206&gt;Inputs!$B$24,"Indian literature",IF(D206&gt;0,"Floor (Indian share below floor)","Floor (no Indian data)")))</f>
        <v>Floor (no Indian data)</v>
      </c>
      <c r="H206" s="23" t="n">
        <f aca="false">IF(B206="AR",Inputs!$B$14,IF(B206="AD",Inputs!$B$15,Inputs!$B$16))</f>
        <v>1</v>
      </c>
      <c r="I206" s="12"/>
      <c r="J206" s="24" t="n">
        <f aca="false">IF(I206="",H206,I206)</f>
        <v>1</v>
      </c>
      <c r="K206" s="12"/>
      <c r="L206" s="24" t="n">
        <f aca="false">IF(K206="",Inputs!$B$20,K206)</f>
        <v>0.5</v>
      </c>
      <c r="M206" s="25" t="n">
        <f aca="false">IF(B206="AR",SQRT(Inputs!$B$9*F206/J206),IF(B206="AD",Inputs!$B$9*F206/(2*J206),2*Inputs!$B$9*F206/J206))</f>
        <v>0.00470090743184764</v>
      </c>
      <c r="N206" s="25" t="n">
        <f aca="false">IF(B206="AR",IF(Inputs!$B$25=0,SQRT(Inputs!$B$8*F206/J206),(-Inputs!$B$25+SQRT(Inputs!$B$25^2+4*(1-Inputs!$B$25)*Inputs!$B$8*F206/J206))/(2*(1-Inputs!$B$25))),IF(B206="AD",Inputs!$B$8*F206/(2*J206),2*Inputs!$B$8*F206/J206))</f>
        <v>0.00416319359719033</v>
      </c>
      <c r="O206" s="25" t="n">
        <f aca="false">MIN(Inputs!$B$26,M206*L206)</f>
        <v>0.00235045371592382</v>
      </c>
      <c r="P206" s="25" t="n">
        <f aca="false">MIN(Inputs!$B$26,O206*Inputs!$B$19)</f>
        <v>0.0235045371592382</v>
      </c>
      <c r="Q206" s="25" t="n">
        <f aca="false">MIN(O206,N206*Inputs!$B$21)</f>
        <v>0.000208159679859516</v>
      </c>
      <c r="R206" s="26"/>
      <c r="S206" s="26"/>
      <c r="T206" s="26"/>
      <c r="U206" s="20" t="str">
        <f aca="false">IF(COUNT(R206:T206)&gt;0,"Published spec (+calc where blank)","Calculated (this workbook)")</f>
        <v>Calculated (this workbook)</v>
      </c>
      <c r="V206" s="28" t="n">
        <f aca="false">IF(R206="",MAX(P206,W206),R206)</f>
        <v>0.0235045371592382</v>
      </c>
      <c r="W206" s="28" t="n">
        <f aca="false">IF(S206="",O206,S206)</f>
        <v>0.00235045371592382</v>
      </c>
      <c r="X206" s="28" t="n">
        <f aca="false">IF(T206="",Q206,T206)</f>
        <v>0.000208159679859516</v>
      </c>
      <c r="Y206" s="20" t="str">
        <f aca="false">IF(S206="","",IF(O206&lt;S206,"Calc STRICTER (lower)","Calc more lenient (higher)"))</f>
        <v/>
      </c>
      <c r="Z206" s="20" t="str">
        <f aca="false">IF(B206="XL","Hemizygous male AF (grpmax)","grpmax FAF95; check SAS, IndiGen, GenomeIndia")</f>
        <v>grpmax FAF95; check SAS, IndiGen, GenomeIndia</v>
      </c>
      <c r="AA206" s="20"/>
      <c r="AB206" s="20"/>
    </row>
    <row r="207" customFormat="false" ht="15" hidden="false" customHeight="false" outlineLevel="0" collapsed="false">
      <c r="A207" s="19" t="s">
        <v>369</v>
      </c>
      <c r="B207" s="20" t="s">
        <v>96</v>
      </c>
      <c r="C207" s="20" t="s">
        <v>105</v>
      </c>
      <c r="D207" s="21" t="n">
        <f aca="false">SUMIF(Indian_Gene_Shares!$B$5:$B$47,A207,Indian_Gene_Shares!$G$5:$G$47)</f>
        <v>0</v>
      </c>
      <c r="E207" s="9" t="n">
        <f aca="false">IFERROR(INDEX(ARIDE_Cohort!$C$6:$C$207,MATCH(A207,ARIDE_Cohort!$A$6:$A$207,0)),0)</f>
        <v>0</v>
      </c>
      <c r="F207" s="22" t="n">
        <f aca="false">MAX(Inputs!$B$24,IF(AND(Inputs!$B$29="ARIDE cohort",ARIDE_Cohort!$B$3&gt;=Inputs!$B$30),E207,D207))</f>
        <v>0.01</v>
      </c>
      <c r="G207" s="20" t="str">
        <f aca="false">IF(AND(Inputs!$B$29="ARIDE cohort",ARIDE_Cohort!$B$3&gt;=Inputs!$B$30),IF(E207&gt;Inputs!$B$24,"ARIDE cohort","Floor (ARIDE share below floor)"),IF(D207&gt;Inputs!$B$24,"Indian literature",IF(D207&gt;0,"Floor (Indian share below floor)","Floor (no Indian data)")))</f>
        <v>Floor (no Indian data)</v>
      </c>
      <c r="H207" s="23" t="n">
        <f aca="false">IF(B207="AR",Inputs!$B$14,IF(B207="AD",Inputs!$B$15,Inputs!$B$16))</f>
        <v>1</v>
      </c>
      <c r="I207" s="12"/>
      <c r="J207" s="24" t="n">
        <f aca="false">IF(I207="",H207,I207)</f>
        <v>1</v>
      </c>
      <c r="K207" s="12"/>
      <c r="L207" s="24" t="n">
        <f aca="false">IF(K207="",Inputs!$B$20,K207)</f>
        <v>0.5</v>
      </c>
      <c r="M207" s="25" t="n">
        <f aca="false">IF(B207="AR",SQRT(Inputs!$B$9*F207/J207),IF(B207="AD",Inputs!$B$9*F207/(2*J207),2*Inputs!$B$9*F207/J207))</f>
        <v>0.00470090743184764</v>
      </c>
      <c r="N207" s="25" t="n">
        <f aca="false">IF(B207="AR",IF(Inputs!$B$25=0,SQRT(Inputs!$B$8*F207/J207),(-Inputs!$B$25+SQRT(Inputs!$B$25^2+4*(1-Inputs!$B$25)*Inputs!$B$8*F207/J207))/(2*(1-Inputs!$B$25))),IF(B207="AD",Inputs!$B$8*F207/(2*J207),2*Inputs!$B$8*F207/J207))</f>
        <v>0.00416319359719033</v>
      </c>
      <c r="O207" s="25" t="n">
        <f aca="false">MIN(Inputs!$B$26,M207*L207)</f>
        <v>0.00235045371592382</v>
      </c>
      <c r="P207" s="25" t="n">
        <f aca="false">MIN(Inputs!$B$26,O207*Inputs!$B$19)</f>
        <v>0.0235045371592382</v>
      </c>
      <c r="Q207" s="25" t="n">
        <f aca="false">MIN(O207,N207*Inputs!$B$21)</f>
        <v>0.000208159679859516</v>
      </c>
      <c r="R207" s="26"/>
      <c r="S207" s="26"/>
      <c r="T207" s="26"/>
      <c r="U207" s="20" t="str">
        <f aca="false">IF(COUNT(R207:T207)&gt;0,"Published spec (+calc where blank)","Calculated (this workbook)")</f>
        <v>Calculated (this workbook)</v>
      </c>
      <c r="V207" s="28" t="n">
        <f aca="false">IF(R207="",MAX(P207,W207),R207)</f>
        <v>0.0235045371592382</v>
      </c>
      <c r="W207" s="28" t="n">
        <f aca="false">IF(S207="",O207,S207)</f>
        <v>0.00235045371592382</v>
      </c>
      <c r="X207" s="28" t="n">
        <f aca="false">IF(T207="",Q207,T207)</f>
        <v>0.000208159679859516</v>
      </c>
      <c r="Y207" s="20" t="str">
        <f aca="false">IF(S207="","",IF(O207&lt;S207,"Calc STRICTER (lower)","Calc more lenient (higher)"))</f>
        <v/>
      </c>
      <c r="Z207" s="20" t="str">
        <f aca="false">IF(B207="XL","Hemizygous male AF (grpmax)","grpmax FAF95; check SAS, IndiGen, GenomeIndia")</f>
        <v>grpmax FAF95; check SAS, IndiGen, GenomeIndia</v>
      </c>
      <c r="AA207" s="20"/>
      <c r="AB207" s="20"/>
    </row>
    <row r="208" customFormat="false" ht="15" hidden="false" customHeight="false" outlineLevel="0" collapsed="false">
      <c r="A208" s="19" t="s">
        <v>370</v>
      </c>
      <c r="B208" s="20" t="s">
        <v>109</v>
      </c>
      <c r="C208" s="20" t="s">
        <v>105</v>
      </c>
      <c r="D208" s="21" t="n">
        <f aca="false">SUMIF(Indian_Gene_Shares!$B$5:$B$47,A208,Indian_Gene_Shares!$G$5:$G$47)</f>
        <v>0</v>
      </c>
      <c r="E208" s="9" t="n">
        <f aca="false">IFERROR(INDEX(ARIDE_Cohort!$C$6:$C$207,MATCH(A208,ARIDE_Cohort!$A$6:$A$207,0)),0)</f>
        <v>0</v>
      </c>
      <c r="F208" s="22" t="n">
        <f aca="false">MAX(Inputs!$B$24,IF(AND(Inputs!$B$29="ARIDE cohort",ARIDE_Cohort!$B$3&gt;=Inputs!$B$30),E208,D208))</f>
        <v>0.01</v>
      </c>
      <c r="G208" s="20" t="str">
        <f aca="false">IF(AND(Inputs!$B$29="ARIDE cohort",ARIDE_Cohort!$B$3&gt;=Inputs!$B$30),IF(E208&gt;Inputs!$B$24,"ARIDE cohort","Floor (ARIDE share below floor)"),IF(D208&gt;Inputs!$B$24,"Indian literature",IF(D208&gt;0,"Floor (Indian share below floor)","Floor (no Indian data)")))</f>
        <v>Floor (no Indian data)</v>
      </c>
      <c r="H208" s="23" t="n">
        <f aca="false">IF(B208="AR",Inputs!$B$14,IF(B208="AD",Inputs!$B$15,Inputs!$B$16))</f>
        <v>0.5</v>
      </c>
      <c r="I208" s="12"/>
      <c r="J208" s="24" t="n">
        <f aca="false">IF(I208="",H208,I208)</f>
        <v>0.5</v>
      </c>
      <c r="K208" s="12"/>
      <c r="L208" s="24" t="n">
        <f aca="false">IF(K208="",Inputs!$B$20,K208)</f>
        <v>0.5</v>
      </c>
      <c r="M208" s="25" t="n">
        <f aca="false">IF(B208="AR",SQRT(Inputs!$B$9*F208/J208),IF(B208="AD",Inputs!$B$9*F208/(2*J208),2*Inputs!$B$9*F208/J208))</f>
        <v>2.20985306828003E-005</v>
      </c>
      <c r="N208" s="25" t="n">
        <f aca="false">IF(B208="AR",IF(Inputs!$B$25=0,SQRT(Inputs!$B$8*F208/J208),(-Inputs!$B$25+SQRT(Inputs!$B$25^2+4*(1-Inputs!$B$25)*Inputs!$B$8*F208/J208))/(2*(1-Inputs!$B$25))),IF(B208="AD",Inputs!$B$8*F208/(2*J208),2*Inputs!$B$8*F208/J208))</f>
        <v>1.73321809276865E-005</v>
      </c>
      <c r="O208" s="25" t="n">
        <f aca="false">MIN(Inputs!$B$26,M208*L208)</f>
        <v>1.10492653414002E-005</v>
      </c>
      <c r="P208" s="25" t="n">
        <f aca="false">MIN(Inputs!$B$26,O208*Inputs!$B$19)</f>
        <v>0.000110492653414002</v>
      </c>
      <c r="Q208" s="25" t="n">
        <f aca="false">MIN(O208,N208*Inputs!$B$21)</f>
        <v>8.66609046384327E-007</v>
      </c>
      <c r="R208" s="26"/>
      <c r="S208" s="26"/>
      <c r="T208" s="26"/>
      <c r="U208" s="20" t="str">
        <f aca="false">IF(COUNT(R208:T208)&gt;0,"Published spec (+calc where blank)","Calculated (this workbook)")</f>
        <v>Calculated (this workbook)</v>
      </c>
      <c r="V208" s="28" t="n">
        <f aca="false">IF(R208="",MAX(P208,W208),R208)</f>
        <v>0.000110492653414002</v>
      </c>
      <c r="W208" s="28" t="n">
        <f aca="false">IF(S208="",O208,S208)</f>
        <v>1.10492653414002E-005</v>
      </c>
      <c r="X208" s="28" t="n">
        <f aca="false">IF(T208="",Q208,T208)</f>
        <v>8.66609046384327E-007</v>
      </c>
      <c r="Y208" s="20" t="str">
        <f aca="false">IF(S208="","",IF(O208&lt;S208,"Calc STRICTER (lower)","Calc more lenient (higher)"))</f>
        <v/>
      </c>
      <c r="Z208" s="20" t="str">
        <f aca="false">IF(B208="XL","Hemizygous male AF (grpmax)","grpmax FAF95; check SAS, IndiGen, GenomeIndia")</f>
        <v>grpmax FAF95; check SAS, IndiGen, GenomeIndia</v>
      </c>
      <c r="AA208" s="20"/>
      <c r="AB208" s="20"/>
    </row>
    <row r="209" customFormat="false" ht="15" hidden="false" customHeight="false" outlineLevel="0" collapsed="false">
      <c r="A209" s="19" t="s">
        <v>371</v>
      </c>
      <c r="B209" s="20" t="s">
        <v>96</v>
      </c>
      <c r="C209" s="20" t="s">
        <v>190</v>
      </c>
      <c r="D209" s="21" t="n">
        <f aca="false">SUMIF(Indian_Gene_Shares!$B$5:$B$47,A209,Indian_Gene_Shares!$G$5:$G$47)</f>
        <v>0.000381838905775076</v>
      </c>
      <c r="E209" s="9" t="n">
        <f aca="false">IFERROR(INDEX(ARIDE_Cohort!$C$6:$C$207,MATCH(A209,ARIDE_Cohort!$A$6:$A$207,0)),0)</f>
        <v>0</v>
      </c>
      <c r="F209" s="22" t="n">
        <f aca="false">MAX(Inputs!$B$24,IF(AND(Inputs!$B$29="ARIDE cohort",ARIDE_Cohort!$B$3&gt;=Inputs!$B$30),E209,D209))</f>
        <v>0.01</v>
      </c>
      <c r="G209" s="20" t="str">
        <f aca="false">IF(AND(Inputs!$B$29="ARIDE cohort",ARIDE_Cohort!$B$3&gt;=Inputs!$B$30),IF(E209&gt;Inputs!$B$24,"ARIDE cohort","Floor (ARIDE share below floor)"),IF(D209&gt;Inputs!$B$24,"Indian literature",IF(D209&gt;0,"Floor (Indian share below floor)","Floor (no Indian data)")))</f>
        <v>Floor (Indian share below floor)</v>
      </c>
      <c r="H209" s="23" t="n">
        <f aca="false">IF(B209="AR",Inputs!$B$14,IF(B209="AD",Inputs!$B$15,Inputs!$B$16))</f>
        <v>1</v>
      </c>
      <c r="I209" s="12"/>
      <c r="J209" s="24" t="n">
        <f aca="false">IF(I209="",H209,I209)</f>
        <v>1</v>
      </c>
      <c r="K209" s="12"/>
      <c r="L209" s="24" t="n">
        <f aca="false">IF(K209="",Inputs!$B$20,K209)</f>
        <v>0.5</v>
      </c>
      <c r="M209" s="25" t="n">
        <f aca="false">IF(B209="AR",SQRT(Inputs!$B$9*F209/J209),IF(B209="AD",Inputs!$B$9*F209/(2*J209),2*Inputs!$B$9*F209/J209))</f>
        <v>0.00470090743184764</v>
      </c>
      <c r="N209" s="25" t="n">
        <f aca="false">IF(B209="AR",IF(Inputs!$B$25=0,SQRT(Inputs!$B$8*F209/J209),(-Inputs!$B$25+SQRT(Inputs!$B$25^2+4*(1-Inputs!$B$25)*Inputs!$B$8*F209/J209))/(2*(1-Inputs!$B$25))),IF(B209="AD",Inputs!$B$8*F209/(2*J209),2*Inputs!$B$8*F209/J209))</f>
        <v>0.00416319359719033</v>
      </c>
      <c r="O209" s="25" t="n">
        <f aca="false">MIN(Inputs!$B$26,M209*L209)</f>
        <v>0.00235045371592382</v>
      </c>
      <c r="P209" s="25" t="n">
        <f aca="false">MIN(Inputs!$B$26,O209*Inputs!$B$19)</f>
        <v>0.0235045371592382</v>
      </c>
      <c r="Q209" s="25" t="n">
        <f aca="false">MIN(O209,N209*Inputs!$B$21)</f>
        <v>0.000208159679859516</v>
      </c>
      <c r="R209" s="26"/>
      <c r="S209" s="26"/>
      <c r="T209" s="26"/>
      <c r="U209" s="20" t="str">
        <f aca="false">IF(COUNT(R209:T209)&gt;0,"Published spec (+calc where blank)","Calculated (this workbook)")</f>
        <v>Calculated (this workbook)</v>
      </c>
      <c r="V209" s="28" t="n">
        <f aca="false">IF(R209="",MAX(P209,W209),R209)</f>
        <v>0.0235045371592382</v>
      </c>
      <c r="W209" s="28" t="n">
        <f aca="false">IF(S209="",O209,S209)</f>
        <v>0.00235045371592382</v>
      </c>
      <c r="X209" s="28" t="n">
        <f aca="false">IF(T209="",Q209,T209)</f>
        <v>0.000208159679859516</v>
      </c>
      <c r="Y209" s="20" t="str">
        <f aca="false">IF(S209="","",IF(O209&lt;S209,"Calc STRICTER (lower)","Calc more lenient (higher)"))</f>
        <v/>
      </c>
      <c r="Z209" s="20" t="str">
        <f aca="false">IF(B209="XL","Hemizygous male AF (grpmax)","grpmax FAF95; check SAS, IndiGen, GenomeIndia")</f>
        <v>grpmax FAF95; check SAS, IndiGen, GenomeIndia</v>
      </c>
      <c r="AA209" s="20"/>
      <c r="AB209" s="20"/>
    </row>
    <row r="210" customFormat="false" ht="15" hidden="false" customHeight="false" outlineLevel="0" collapsed="false">
      <c r="A210" s="19" t="s">
        <v>372</v>
      </c>
      <c r="B210" s="20" t="s">
        <v>109</v>
      </c>
      <c r="C210" s="20" t="s">
        <v>373</v>
      </c>
      <c r="D210" s="21" t="n">
        <f aca="false">SUMIF(Indian_Gene_Shares!$B$5:$B$47,A210,Indian_Gene_Shares!$G$5:$G$47)</f>
        <v>0</v>
      </c>
      <c r="E210" s="9" t="n">
        <f aca="false">IFERROR(INDEX(ARIDE_Cohort!$C$6:$C$207,MATCH(A210,ARIDE_Cohort!$A$6:$A$207,0)),0)</f>
        <v>0</v>
      </c>
      <c r="F210" s="22" t="n">
        <f aca="false">MAX(Inputs!$B$24,IF(AND(Inputs!$B$29="ARIDE cohort",ARIDE_Cohort!$B$3&gt;=Inputs!$B$30),E210,D210))</f>
        <v>0.01</v>
      </c>
      <c r="G210" s="20" t="str">
        <f aca="false">IF(AND(Inputs!$B$29="ARIDE cohort",ARIDE_Cohort!$B$3&gt;=Inputs!$B$30),IF(E210&gt;Inputs!$B$24,"ARIDE cohort","Floor (ARIDE share below floor)"),IF(D210&gt;Inputs!$B$24,"Indian literature",IF(D210&gt;0,"Floor (Indian share below floor)","Floor (no Indian data)")))</f>
        <v>Floor (no Indian data)</v>
      </c>
      <c r="H210" s="23" t="n">
        <f aca="false">IF(B210="AR",Inputs!$B$14,IF(B210="AD",Inputs!$B$15,Inputs!$B$16))</f>
        <v>0.5</v>
      </c>
      <c r="I210" s="12"/>
      <c r="J210" s="24" t="n">
        <f aca="false">IF(I210="",H210,I210)</f>
        <v>0.5</v>
      </c>
      <c r="K210" s="12"/>
      <c r="L210" s="24" t="n">
        <f aca="false">IF(K210="",Inputs!$B$20,K210)</f>
        <v>0.5</v>
      </c>
      <c r="M210" s="25" t="n">
        <f aca="false">IF(B210="AR",SQRT(Inputs!$B$9*F210/J210),IF(B210="AD",Inputs!$B$9*F210/(2*J210),2*Inputs!$B$9*F210/J210))</f>
        <v>2.20985306828003E-005</v>
      </c>
      <c r="N210" s="25" t="n">
        <f aca="false">IF(B210="AR",IF(Inputs!$B$25=0,SQRT(Inputs!$B$8*F210/J210),(-Inputs!$B$25+SQRT(Inputs!$B$25^2+4*(1-Inputs!$B$25)*Inputs!$B$8*F210/J210))/(2*(1-Inputs!$B$25))),IF(B210="AD",Inputs!$B$8*F210/(2*J210),2*Inputs!$B$8*F210/J210))</f>
        <v>1.73321809276865E-005</v>
      </c>
      <c r="O210" s="25" t="n">
        <f aca="false">MIN(Inputs!$B$26,M210*L210)</f>
        <v>1.10492653414002E-005</v>
      </c>
      <c r="P210" s="25" t="n">
        <f aca="false">MIN(Inputs!$B$26,O210*Inputs!$B$19)</f>
        <v>0.000110492653414002</v>
      </c>
      <c r="Q210" s="25" t="n">
        <f aca="false">MIN(O210,N210*Inputs!$B$21)</f>
        <v>8.66609046384327E-007</v>
      </c>
      <c r="R210" s="26"/>
      <c r="S210" s="26"/>
      <c r="T210" s="26"/>
      <c r="U210" s="20" t="str">
        <f aca="false">IF(COUNT(R210:T210)&gt;0,"Published spec (+calc where blank)","Calculated (this workbook)")</f>
        <v>Calculated (this workbook)</v>
      </c>
      <c r="V210" s="28" t="n">
        <f aca="false">IF(R210="",MAX(P210,W210),R210)</f>
        <v>0.000110492653414002</v>
      </c>
      <c r="W210" s="28" t="n">
        <f aca="false">IF(S210="",O210,S210)</f>
        <v>1.10492653414002E-005</v>
      </c>
      <c r="X210" s="28" t="n">
        <f aca="false">IF(T210="",Q210,T210)</f>
        <v>8.66609046384327E-007</v>
      </c>
      <c r="Y210" s="20" t="str">
        <f aca="false">IF(S210="","",IF(O210&lt;S210,"Calc STRICTER (lower)","Calc more lenient (higher)"))</f>
        <v/>
      </c>
      <c r="Z210" s="20" t="str">
        <f aca="false">IF(B210="XL","Hemizygous male AF (grpmax)","grpmax FAF95; check SAS, IndiGen, GenomeIndia")</f>
        <v>grpmax FAF95; check SAS, IndiGen, GenomeIndia</v>
      </c>
      <c r="AA210" s="20"/>
      <c r="AB210" s="20"/>
    </row>
    <row r="211" customFormat="false" ht="15" hidden="false" customHeight="false" outlineLevel="0" collapsed="false">
      <c r="A211" s="19" t="s">
        <v>374</v>
      </c>
      <c r="B211" s="20" t="s">
        <v>96</v>
      </c>
      <c r="C211" s="20" t="s">
        <v>112</v>
      </c>
      <c r="D211" s="21" t="n">
        <f aca="false">SUMIF(Indian_Gene_Shares!$B$5:$B$47,A211,Indian_Gene_Shares!$G$5:$G$47)</f>
        <v>0</v>
      </c>
      <c r="E211" s="9" t="n">
        <f aca="false">IFERROR(INDEX(ARIDE_Cohort!$C$6:$C$207,MATCH(A211,ARIDE_Cohort!$A$6:$A$207,0)),0)</f>
        <v>0</v>
      </c>
      <c r="F211" s="22" t="n">
        <f aca="false">MAX(Inputs!$B$24,IF(AND(Inputs!$B$29="ARIDE cohort",ARIDE_Cohort!$B$3&gt;=Inputs!$B$30),E211,D211))</f>
        <v>0.01</v>
      </c>
      <c r="G211" s="20" t="str">
        <f aca="false">IF(AND(Inputs!$B$29="ARIDE cohort",ARIDE_Cohort!$B$3&gt;=Inputs!$B$30),IF(E211&gt;Inputs!$B$24,"ARIDE cohort","Floor (ARIDE share below floor)"),IF(D211&gt;Inputs!$B$24,"Indian literature",IF(D211&gt;0,"Floor (Indian share below floor)","Floor (no Indian data)")))</f>
        <v>Floor (no Indian data)</v>
      </c>
      <c r="H211" s="23" t="n">
        <f aca="false">IF(B211="AR",Inputs!$B$14,IF(B211="AD",Inputs!$B$15,Inputs!$B$16))</f>
        <v>1</v>
      </c>
      <c r="I211" s="12"/>
      <c r="J211" s="24" t="n">
        <f aca="false">IF(I211="",H211,I211)</f>
        <v>1</v>
      </c>
      <c r="K211" s="12"/>
      <c r="L211" s="24" t="n">
        <f aca="false">IF(K211="",Inputs!$B$20,K211)</f>
        <v>0.5</v>
      </c>
      <c r="M211" s="25" t="n">
        <f aca="false">IF(B211="AR",SQRT(Inputs!$B$9*F211/J211),IF(B211="AD",Inputs!$B$9*F211/(2*J211),2*Inputs!$B$9*F211/J211))</f>
        <v>0.00470090743184764</v>
      </c>
      <c r="N211" s="25" t="n">
        <f aca="false">IF(B211="AR",IF(Inputs!$B$25=0,SQRT(Inputs!$B$8*F211/J211),(-Inputs!$B$25+SQRT(Inputs!$B$25^2+4*(1-Inputs!$B$25)*Inputs!$B$8*F211/J211))/(2*(1-Inputs!$B$25))),IF(B211="AD",Inputs!$B$8*F211/(2*J211),2*Inputs!$B$8*F211/J211))</f>
        <v>0.00416319359719033</v>
      </c>
      <c r="O211" s="25" t="n">
        <f aca="false">MIN(Inputs!$B$26,M211*L211)</f>
        <v>0.00235045371592382</v>
      </c>
      <c r="P211" s="25" t="n">
        <f aca="false">MIN(Inputs!$B$26,O211*Inputs!$B$19)</f>
        <v>0.0235045371592382</v>
      </c>
      <c r="Q211" s="25" t="n">
        <f aca="false">MIN(O211,N211*Inputs!$B$21)</f>
        <v>0.000208159679859516</v>
      </c>
      <c r="R211" s="26"/>
      <c r="S211" s="26"/>
      <c r="T211" s="26"/>
      <c r="U211" s="20" t="str">
        <f aca="false">IF(COUNT(R211:T211)&gt;0,"Published spec (+calc where blank)","Calculated (this workbook)")</f>
        <v>Calculated (this workbook)</v>
      </c>
      <c r="V211" s="28" t="n">
        <f aca="false">IF(R211="",MAX(P211,W211),R211)</f>
        <v>0.0235045371592382</v>
      </c>
      <c r="W211" s="28" t="n">
        <f aca="false">IF(S211="",O211,S211)</f>
        <v>0.00235045371592382</v>
      </c>
      <c r="X211" s="28" t="n">
        <f aca="false">IF(T211="",Q211,T211)</f>
        <v>0.000208159679859516</v>
      </c>
      <c r="Y211" s="20" t="str">
        <f aca="false">IF(S211="","",IF(O211&lt;S211,"Calc STRICTER (lower)","Calc more lenient (higher)"))</f>
        <v/>
      </c>
      <c r="Z211" s="20" t="str">
        <f aca="false">IF(B211="XL","Hemizygous male AF (grpmax)","grpmax FAF95; check SAS, IndiGen, GenomeIndia")</f>
        <v>grpmax FAF95; check SAS, IndiGen, GenomeIndia</v>
      </c>
      <c r="AA211" s="20"/>
      <c r="AB211" s="20"/>
    </row>
    <row r="212" customFormat="false" ht="15" hidden="false" customHeight="false" outlineLevel="0" collapsed="false">
      <c r="A212" s="19" t="s">
        <v>375</v>
      </c>
      <c r="B212" s="20" t="s">
        <v>96</v>
      </c>
      <c r="C212" s="20" t="s">
        <v>112</v>
      </c>
      <c r="D212" s="21" t="n">
        <f aca="false">SUMIF(Indian_Gene_Shares!$B$5:$B$47,A212,Indian_Gene_Shares!$G$5:$G$47)</f>
        <v>0</v>
      </c>
      <c r="E212" s="9" t="n">
        <f aca="false">IFERROR(INDEX(ARIDE_Cohort!$C$6:$C$207,MATCH(A212,ARIDE_Cohort!$A$6:$A$207,0)),0)</f>
        <v>0</v>
      </c>
      <c r="F212" s="22" t="n">
        <f aca="false">MAX(Inputs!$B$24,IF(AND(Inputs!$B$29="ARIDE cohort",ARIDE_Cohort!$B$3&gt;=Inputs!$B$30),E212,D212))</f>
        <v>0.01</v>
      </c>
      <c r="G212" s="20" t="str">
        <f aca="false">IF(AND(Inputs!$B$29="ARIDE cohort",ARIDE_Cohort!$B$3&gt;=Inputs!$B$30),IF(E212&gt;Inputs!$B$24,"ARIDE cohort","Floor (ARIDE share below floor)"),IF(D212&gt;Inputs!$B$24,"Indian literature",IF(D212&gt;0,"Floor (Indian share below floor)","Floor (no Indian data)")))</f>
        <v>Floor (no Indian data)</v>
      </c>
      <c r="H212" s="23" t="n">
        <f aca="false">IF(B212="AR",Inputs!$B$14,IF(B212="AD",Inputs!$B$15,Inputs!$B$16))</f>
        <v>1</v>
      </c>
      <c r="I212" s="12"/>
      <c r="J212" s="24" t="n">
        <f aca="false">IF(I212="",H212,I212)</f>
        <v>1</v>
      </c>
      <c r="K212" s="12"/>
      <c r="L212" s="24" t="n">
        <f aca="false">IF(K212="",Inputs!$B$20,K212)</f>
        <v>0.5</v>
      </c>
      <c r="M212" s="25" t="n">
        <f aca="false">IF(B212="AR",SQRT(Inputs!$B$9*F212/J212),IF(B212="AD",Inputs!$B$9*F212/(2*J212),2*Inputs!$B$9*F212/J212))</f>
        <v>0.00470090743184764</v>
      </c>
      <c r="N212" s="25" t="n">
        <f aca="false">IF(B212="AR",IF(Inputs!$B$25=0,SQRT(Inputs!$B$8*F212/J212),(-Inputs!$B$25+SQRT(Inputs!$B$25^2+4*(1-Inputs!$B$25)*Inputs!$B$8*F212/J212))/(2*(1-Inputs!$B$25))),IF(B212="AD",Inputs!$B$8*F212/(2*J212),2*Inputs!$B$8*F212/J212))</f>
        <v>0.00416319359719033</v>
      </c>
      <c r="O212" s="25" t="n">
        <f aca="false">MIN(Inputs!$B$26,M212*L212)</f>
        <v>0.00235045371592382</v>
      </c>
      <c r="P212" s="25" t="n">
        <f aca="false">MIN(Inputs!$B$26,O212*Inputs!$B$19)</f>
        <v>0.0235045371592382</v>
      </c>
      <c r="Q212" s="25" t="n">
        <f aca="false">MIN(O212,N212*Inputs!$B$21)</f>
        <v>0.000208159679859516</v>
      </c>
      <c r="R212" s="26"/>
      <c r="S212" s="26"/>
      <c r="T212" s="26"/>
      <c r="U212" s="20" t="str">
        <f aca="false">IF(COUNT(R212:T212)&gt;0,"Published spec (+calc where blank)","Calculated (this workbook)")</f>
        <v>Calculated (this workbook)</v>
      </c>
      <c r="V212" s="28" t="n">
        <f aca="false">IF(R212="",MAX(P212,W212),R212)</f>
        <v>0.0235045371592382</v>
      </c>
      <c r="W212" s="28" t="n">
        <f aca="false">IF(S212="",O212,S212)</f>
        <v>0.00235045371592382</v>
      </c>
      <c r="X212" s="28" t="n">
        <f aca="false">IF(T212="",Q212,T212)</f>
        <v>0.000208159679859516</v>
      </c>
      <c r="Y212" s="20" t="str">
        <f aca="false">IF(S212="","",IF(O212&lt;S212,"Calc STRICTER (lower)","Calc more lenient (higher)"))</f>
        <v/>
      </c>
      <c r="Z212" s="20" t="str">
        <f aca="false">IF(B212="XL","Hemizygous male AF (grpmax)","grpmax FAF95; check SAS, IndiGen, GenomeIndia")</f>
        <v>grpmax FAF95; check SAS, IndiGen, GenomeIndia</v>
      </c>
      <c r="AA212" s="20"/>
      <c r="AB212" s="20"/>
    </row>
    <row r="213" customFormat="false" ht="15" hidden="false" customHeight="false" outlineLevel="0" collapsed="false">
      <c r="A213" s="19" t="s">
        <v>376</v>
      </c>
      <c r="B213" s="20" t="s">
        <v>109</v>
      </c>
      <c r="C213" s="20" t="s">
        <v>105</v>
      </c>
      <c r="D213" s="21" t="n">
        <f aca="false">SUMIF(Indian_Gene_Shares!$B$5:$B$47,A213,Indian_Gene_Shares!$G$5:$G$47)</f>
        <v>0</v>
      </c>
      <c r="E213" s="9" t="n">
        <f aca="false">IFERROR(INDEX(ARIDE_Cohort!$C$6:$C$207,MATCH(A213,ARIDE_Cohort!$A$6:$A$207,0)),0)</f>
        <v>0</v>
      </c>
      <c r="F213" s="22" t="n">
        <f aca="false">MAX(Inputs!$B$24,IF(AND(Inputs!$B$29="ARIDE cohort",ARIDE_Cohort!$B$3&gt;=Inputs!$B$30),E213,D213))</f>
        <v>0.01</v>
      </c>
      <c r="G213" s="20" t="str">
        <f aca="false">IF(AND(Inputs!$B$29="ARIDE cohort",ARIDE_Cohort!$B$3&gt;=Inputs!$B$30),IF(E213&gt;Inputs!$B$24,"ARIDE cohort","Floor (ARIDE share below floor)"),IF(D213&gt;Inputs!$B$24,"Indian literature",IF(D213&gt;0,"Floor (Indian share below floor)","Floor (no Indian data)")))</f>
        <v>Floor (no Indian data)</v>
      </c>
      <c r="H213" s="23" t="n">
        <f aca="false">IF(B213="AR",Inputs!$B$14,IF(B213="AD",Inputs!$B$15,Inputs!$B$16))</f>
        <v>0.5</v>
      </c>
      <c r="I213" s="12"/>
      <c r="J213" s="24" t="n">
        <f aca="false">IF(I213="",H213,I213)</f>
        <v>0.5</v>
      </c>
      <c r="K213" s="12"/>
      <c r="L213" s="24" t="n">
        <f aca="false">IF(K213="",Inputs!$B$20,K213)</f>
        <v>0.5</v>
      </c>
      <c r="M213" s="25" t="n">
        <f aca="false">IF(B213="AR",SQRT(Inputs!$B$9*F213/J213),IF(B213="AD",Inputs!$B$9*F213/(2*J213),2*Inputs!$B$9*F213/J213))</f>
        <v>2.20985306828003E-005</v>
      </c>
      <c r="N213" s="25" t="n">
        <f aca="false">IF(B213="AR",IF(Inputs!$B$25=0,SQRT(Inputs!$B$8*F213/J213),(-Inputs!$B$25+SQRT(Inputs!$B$25^2+4*(1-Inputs!$B$25)*Inputs!$B$8*F213/J213))/(2*(1-Inputs!$B$25))),IF(B213="AD",Inputs!$B$8*F213/(2*J213),2*Inputs!$B$8*F213/J213))</f>
        <v>1.73321809276865E-005</v>
      </c>
      <c r="O213" s="25" t="n">
        <f aca="false">MIN(Inputs!$B$26,M213*L213)</f>
        <v>1.10492653414002E-005</v>
      </c>
      <c r="P213" s="25" t="n">
        <f aca="false">MIN(Inputs!$B$26,O213*Inputs!$B$19)</f>
        <v>0.000110492653414002</v>
      </c>
      <c r="Q213" s="25" t="n">
        <f aca="false">MIN(O213,N213*Inputs!$B$21)</f>
        <v>8.66609046384327E-007</v>
      </c>
      <c r="R213" s="26"/>
      <c r="S213" s="26"/>
      <c r="T213" s="26"/>
      <c r="U213" s="20" t="str">
        <f aca="false">IF(COUNT(R213:T213)&gt;0,"Published spec (+calc where blank)","Calculated (this workbook)")</f>
        <v>Calculated (this workbook)</v>
      </c>
      <c r="V213" s="28" t="n">
        <f aca="false">IF(R213="",MAX(P213,W213),R213)</f>
        <v>0.000110492653414002</v>
      </c>
      <c r="W213" s="28" t="n">
        <f aca="false">IF(S213="",O213,S213)</f>
        <v>1.10492653414002E-005</v>
      </c>
      <c r="X213" s="28" t="n">
        <f aca="false">IF(T213="",Q213,T213)</f>
        <v>8.66609046384327E-007</v>
      </c>
      <c r="Y213" s="20" t="str">
        <f aca="false">IF(S213="","",IF(O213&lt;S213,"Calc STRICTER (lower)","Calc more lenient (higher)"))</f>
        <v/>
      </c>
      <c r="Z213" s="20" t="str">
        <f aca="false">IF(B213="XL","Hemizygous male AF (grpmax)","grpmax FAF95; check SAS, IndiGen, GenomeIndia")</f>
        <v>grpmax FAF95; check SAS, IndiGen, GenomeIndia</v>
      </c>
      <c r="AA213" s="20"/>
      <c r="AB213" s="20"/>
    </row>
    <row r="214" customFormat="false" ht="15" hidden="false" customHeight="false" outlineLevel="0" collapsed="false">
      <c r="A214" s="19" t="s">
        <v>377</v>
      </c>
      <c r="B214" s="20" t="s">
        <v>96</v>
      </c>
      <c r="C214" s="20" t="s">
        <v>129</v>
      </c>
      <c r="D214" s="21" t="n">
        <f aca="false">SUMIF(Indian_Gene_Shares!$B$5:$B$47,A214,Indian_Gene_Shares!$G$5:$G$47)</f>
        <v>0</v>
      </c>
      <c r="E214" s="9" t="n">
        <f aca="false">IFERROR(INDEX(ARIDE_Cohort!$C$6:$C$207,MATCH(A214,ARIDE_Cohort!$A$6:$A$207,0)),0)</f>
        <v>0</v>
      </c>
      <c r="F214" s="22" t="n">
        <f aca="false">MAX(Inputs!$B$24,IF(AND(Inputs!$B$29="ARIDE cohort",ARIDE_Cohort!$B$3&gt;=Inputs!$B$30),E214,D214))</f>
        <v>0.01</v>
      </c>
      <c r="G214" s="20" t="str">
        <f aca="false">IF(AND(Inputs!$B$29="ARIDE cohort",ARIDE_Cohort!$B$3&gt;=Inputs!$B$30),IF(E214&gt;Inputs!$B$24,"ARIDE cohort","Floor (ARIDE share below floor)"),IF(D214&gt;Inputs!$B$24,"Indian literature",IF(D214&gt;0,"Floor (Indian share below floor)","Floor (no Indian data)")))</f>
        <v>Floor (no Indian data)</v>
      </c>
      <c r="H214" s="23" t="n">
        <f aca="false">IF(B214="AR",Inputs!$B$14,IF(B214="AD",Inputs!$B$15,Inputs!$B$16))</f>
        <v>1</v>
      </c>
      <c r="I214" s="12"/>
      <c r="J214" s="24" t="n">
        <f aca="false">IF(I214="",H214,I214)</f>
        <v>1</v>
      </c>
      <c r="K214" s="12"/>
      <c r="L214" s="24" t="n">
        <f aca="false">IF(K214="",Inputs!$B$20,K214)</f>
        <v>0.5</v>
      </c>
      <c r="M214" s="25" t="n">
        <f aca="false">IF(B214="AR",SQRT(Inputs!$B$9*F214/J214),IF(B214="AD",Inputs!$B$9*F214/(2*J214),2*Inputs!$B$9*F214/J214))</f>
        <v>0.00470090743184764</v>
      </c>
      <c r="N214" s="25" t="n">
        <f aca="false">IF(B214="AR",IF(Inputs!$B$25=0,SQRT(Inputs!$B$8*F214/J214),(-Inputs!$B$25+SQRT(Inputs!$B$25^2+4*(1-Inputs!$B$25)*Inputs!$B$8*F214/J214))/(2*(1-Inputs!$B$25))),IF(B214="AD",Inputs!$B$8*F214/(2*J214),2*Inputs!$B$8*F214/J214))</f>
        <v>0.00416319359719033</v>
      </c>
      <c r="O214" s="25" t="n">
        <f aca="false">MIN(Inputs!$B$26,M214*L214)</f>
        <v>0.00235045371592382</v>
      </c>
      <c r="P214" s="25" t="n">
        <f aca="false">MIN(Inputs!$B$26,O214*Inputs!$B$19)</f>
        <v>0.0235045371592382</v>
      </c>
      <c r="Q214" s="25" t="n">
        <f aca="false">MIN(O214,N214*Inputs!$B$21)</f>
        <v>0.000208159679859516</v>
      </c>
      <c r="R214" s="26"/>
      <c r="S214" s="26"/>
      <c r="T214" s="26"/>
      <c r="U214" s="20" t="str">
        <f aca="false">IF(COUNT(R214:T214)&gt;0,"Published spec (+calc where blank)","Calculated (this workbook)")</f>
        <v>Calculated (this workbook)</v>
      </c>
      <c r="V214" s="28" t="n">
        <f aca="false">IF(R214="",MAX(P214,W214),R214)</f>
        <v>0.0235045371592382</v>
      </c>
      <c r="W214" s="28" t="n">
        <f aca="false">IF(S214="",O214,S214)</f>
        <v>0.00235045371592382</v>
      </c>
      <c r="X214" s="28" t="n">
        <f aca="false">IF(T214="",Q214,T214)</f>
        <v>0.000208159679859516</v>
      </c>
      <c r="Y214" s="20" t="str">
        <f aca="false">IF(S214="","",IF(O214&lt;S214,"Calc STRICTER (lower)","Calc more lenient (higher)"))</f>
        <v/>
      </c>
      <c r="Z214" s="20" t="str">
        <f aca="false">IF(B214="XL","Hemizygous male AF (grpmax)","grpmax FAF95; check SAS, IndiGen, GenomeIndia")</f>
        <v>grpmax FAF95; check SAS, IndiGen, GenomeIndia</v>
      </c>
      <c r="AA214" s="20"/>
      <c r="AB214" s="20"/>
    </row>
    <row r="215" customFormat="false" ht="15" hidden="false" customHeight="false" outlineLevel="0" collapsed="false">
      <c r="A215" s="19" t="s">
        <v>378</v>
      </c>
      <c r="B215" s="20" t="s">
        <v>96</v>
      </c>
      <c r="C215" s="20" t="s">
        <v>218</v>
      </c>
      <c r="D215" s="21" t="n">
        <f aca="false">SUMIF(Indian_Gene_Shares!$B$5:$B$47,A215,Indian_Gene_Shares!$G$5:$G$47)</f>
        <v>0</v>
      </c>
      <c r="E215" s="9" t="n">
        <f aca="false">IFERROR(INDEX(ARIDE_Cohort!$C$6:$C$207,MATCH(A215,ARIDE_Cohort!$A$6:$A$207,0)),0)</f>
        <v>0</v>
      </c>
      <c r="F215" s="22" t="n">
        <f aca="false">MAX(Inputs!$B$24,IF(AND(Inputs!$B$29="ARIDE cohort",ARIDE_Cohort!$B$3&gt;=Inputs!$B$30),E215,D215))</f>
        <v>0.01</v>
      </c>
      <c r="G215" s="20" t="str">
        <f aca="false">IF(AND(Inputs!$B$29="ARIDE cohort",ARIDE_Cohort!$B$3&gt;=Inputs!$B$30),IF(E215&gt;Inputs!$B$24,"ARIDE cohort","Floor (ARIDE share below floor)"),IF(D215&gt;Inputs!$B$24,"Indian literature",IF(D215&gt;0,"Floor (Indian share below floor)","Floor (no Indian data)")))</f>
        <v>Floor (no Indian data)</v>
      </c>
      <c r="H215" s="23" t="n">
        <f aca="false">IF(B215="AR",Inputs!$B$14,IF(B215="AD",Inputs!$B$15,Inputs!$B$16))</f>
        <v>1</v>
      </c>
      <c r="I215" s="12"/>
      <c r="J215" s="24" t="n">
        <f aca="false">IF(I215="",H215,I215)</f>
        <v>1</v>
      </c>
      <c r="K215" s="12"/>
      <c r="L215" s="24" t="n">
        <f aca="false">IF(K215="",Inputs!$B$20,K215)</f>
        <v>0.5</v>
      </c>
      <c r="M215" s="25" t="n">
        <f aca="false">IF(B215="AR",SQRT(Inputs!$B$9*F215/J215),IF(B215="AD",Inputs!$B$9*F215/(2*J215),2*Inputs!$B$9*F215/J215))</f>
        <v>0.00470090743184764</v>
      </c>
      <c r="N215" s="25" t="n">
        <f aca="false">IF(B215="AR",IF(Inputs!$B$25=0,SQRT(Inputs!$B$8*F215/J215),(-Inputs!$B$25+SQRT(Inputs!$B$25^2+4*(1-Inputs!$B$25)*Inputs!$B$8*F215/J215))/(2*(1-Inputs!$B$25))),IF(B215="AD",Inputs!$B$8*F215/(2*J215),2*Inputs!$B$8*F215/J215))</f>
        <v>0.00416319359719033</v>
      </c>
      <c r="O215" s="25" t="n">
        <f aca="false">MIN(Inputs!$B$26,M215*L215)</f>
        <v>0.00235045371592382</v>
      </c>
      <c r="P215" s="25" t="n">
        <f aca="false">MIN(Inputs!$B$26,O215*Inputs!$B$19)</f>
        <v>0.0235045371592382</v>
      </c>
      <c r="Q215" s="25" t="n">
        <f aca="false">MIN(O215,N215*Inputs!$B$21)</f>
        <v>0.000208159679859516</v>
      </c>
      <c r="R215" s="26"/>
      <c r="S215" s="26"/>
      <c r="T215" s="26"/>
      <c r="U215" s="20" t="str">
        <f aca="false">IF(COUNT(R215:T215)&gt;0,"Published spec (+calc where blank)","Calculated (this workbook)")</f>
        <v>Calculated (this workbook)</v>
      </c>
      <c r="V215" s="28" t="n">
        <f aca="false">IF(R215="",MAX(P215,W215),R215)</f>
        <v>0.0235045371592382</v>
      </c>
      <c r="W215" s="28" t="n">
        <f aca="false">IF(S215="",O215,S215)</f>
        <v>0.00235045371592382</v>
      </c>
      <c r="X215" s="28" t="n">
        <f aca="false">IF(T215="",Q215,T215)</f>
        <v>0.000208159679859516</v>
      </c>
      <c r="Y215" s="20" t="str">
        <f aca="false">IF(S215="","",IF(O215&lt;S215,"Calc STRICTER (lower)","Calc more lenient (higher)"))</f>
        <v/>
      </c>
      <c r="Z215" s="20" t="str">
        <f aca="false">IF(B215="XL","Hemizygous male AF (grpmax)","grpmax FAF95; check SAS, IndiGen, GenomeIndia")</f>
        <v>grpmax FAF95; check SAS, IndiGen, GenomeIndia</v>
      </c>
      <c r="AA215" s="20"/>
      <c r="AB215" s="20"/>
    </row>
    <row r="216" customFormat="false" ht="15" hidden="false" customHeight="false" outlineLevel="0" collapsed="false">
      <c r="A216" s="19" t="s">
        <v>379</v>
      </c>
      <c r="B216" s="20" t="s">
        <v>109</v>
      </c>
      <c r="C216" s="20" t="s">
        <v>211</v>
      </c>
      <c r="D216" s="21" t="n">
        <f aca="false">SUMIF(Indian_Gene_Shares!$B$5:$B$47,A216,Indian_Gene_Shares!$G$5:$G$47)</f>
        <v>0</v>
      </c>
      <c r="E216" s="9" t="n">
        <f aca="false">IFERROR(INDEX(ARIDE_Cohort!$C$6:$C$207,MATCH(A216,ARIDE_Cohort!$A$6:$A$207,0)),0)</f>
        <v>0</v>
      </c>
      <c r="F216" s="22" t="n">
        <f aca="false">MAX(Inputs!$B$24,IF(AND(Inputs!$B$29="ARIDE cohort",ARIDE_Cohort!$B$3&gt;=Inputs!$B$30),E216,D216))</f>
        <v>0.01</v>
      </c>
      <c r="G216" s="20" t="str">
        <f aca="false">IF(AND(Inputs!$B$29="ARIDE cohort",ARIDE_Cohort!$B$3&gt;=Inputs!$B$30),IF(E216&gt;Inputs!$B$24,"ARIDE cohort","Floor (ARIDE share below floor)"),IF(D216&gt;Inputs!$B$24,"Indian literature",IF(D216&gt;0,"Floor (Indian share below floor)","Floor (no Indian data)")))</f>
        <v>Floor (no Indian data)</v>
      </c>
      <c r="H216" s="23" t="n">
        <f aca="false">IF(B216="AR",Inputs!$B$14,IF(B216="AD",Inputs!$B$15,Inputs!$B$16))</f>
        <v>0.5</v>
      </c>
      <c r="I216" s="12"/>
      <c r="J216" s="24" t="n">
        <f aca="false">IF(I216="",H216,I216)</f>
        <v>0.5</v>
      </c>
      <c r="K216" s="12"/>
      <c r="L216" s="24" t="n">
        <f aca="false">IF(K216="",Inputs!$B$20,K216)</f>
        <v>0.5</v>
      </c>
      <c r="M216" s="25" t="n">
        <f aca="false">IF(B216="AR",SQRT(Inputs!$B$9*F216/J216),IF(B216="AD",Inputs!$B$9*F216/(2*J216),2*Inputs!$B$9*F216/J216))</f>
        <v>2.20985306828003E-005</v>
      </c>
      <c r="N216" s="25" t="n">
        <f aca="false">IF(B216="AR",IF(Inputs!$B$25=0,SQRT(Inputs!$B$8*F216/J216),(-Inputs!$B$25+SQRT(Inputs!$B$25^2+4*(1-Inputs!$B$25)*Inputs!$B$8*F216/J216))/(2*(1-Inputs!$B$25))),IF(B216="AD",Inputs!$B$8*F216/(2*J216),2*Inputs!$B$8*F216/J216))</f>
        <v>1.73321809276865E-005</v>
      </c>
      <c r="O216" s="25" t="n">
        <f aca="false">MIN(Inputs!$B$26,M216*L216)</f>
        <v>1.10492653414002E-005</v>
      </c>
      <c r="P216" s="25" t="n">
        <f aca="false">MIN(Inputs!$B$26,O216*Inputs!$B$19)</f>
        <v>0.000110492653414002</v>
      </c>
      <c r="Q216" s="25" t="n">
        <f aca="false">MIN(O216,N216*Inputs!$B$21)</f>
        <v>8.66609046384327E-007</v>
      </c>
      <c r="R216" s="26"/>
      <c r="S216" s="26"/>
      <c r="T216" s="26"/>
      <c r="U216" s="20" t="str">
        <f aca="false">IF(COUNT(R216:T216)&gt;0,"Published spec (+calc where blank)","Calculated (this workbook)")</f>
        <v>Calculated (this workbook)</v>
      </c>
      <c r="V216" s="28" t="n">
        <f aca="false">IF(R216="",MAX(P216,W216),R216)</f>
        <v>0.000110492653414002</v>
      </c>
      <c r="W216" s="28" t="n">
        <f aca="false">IF(S216="",O216,S216)</f>
        <v>1.10492653414002E-005</v>
      </c>
      <c r="X216" s="28" t="n">
        <f aca="false">IF(T216="",Q216,T216)</f>
        <v>8.66609046384327E-007</v>
      </c>
      <c r="Y216" s="20" t="str">
        <f aca="false">IF(S216="","",IF(O216&lt;S216,"Calc STRICTER (lower)","Calc more lenient (higher)"))</f>
        <v/>
      </c>
      <c r="Z216" s="20" t="str">
        <f aca="false">IF(B216="XL","Hemizygous male AF (grpmax)","grpmax FAF95; check SAS, IndiGen, GenomeIndia")</f>
        <v>grpmax FAF95; check SAS, IndiGen, GenomeIndia</v>
      </c>
      <c r="AA216" s="20"/>
      <c r="AB216" s="20"/>
    </row>
    <row r="217" customFormat="false" ht="15" hidden="false" customHeight="false" outlineLevel="0" collapsed="false">
      <c r="A217" s="19" t="s">
        <v>379</v>
      </c>
      <c r="B217" s="20" t="s">
        <v>96</v>
      </c>
      <c r="C217" s="20" t="s">
        <v>211</v>
      </c>
      <c r="D217" s="21" t="n">
        <f aca="false">SUMIF(Indian_Gene_Shares!$B$5:$B$47,A217,Indian_Gene_Shares!$G$5:$G$47)</f>
        <v>0</v>
      </c>
      <c r="E217" s="9" t="n">
        <f aca="false">IFERROR(INDEX(ARIDE_Cohort!$C$6:$C$207,MATCH(A217,ARIDE_Cohort!$A$6:$A$207,0)),0)</f>
        <v>0</v>
      </c>
      <c r="F217" s="22" t="n">
        <f aca="false">MAX(Inputs!$B$24,IF(AND(Inputs!$B$29="ARIDE cohort",ARIDE_Cohort!$B$3&gt;=Inputs!$B$30),E217,D217))</f>
        <v>0.01</v>
      </c>
      <c r="G217" s="20" t="str">
        <f aca="false">IF(AND(Inputs!$B$29="ARIDE cohort",ARIDE_Cohort!$B$3&gt;=Inputs!$B$30),IF(E217&gt;Inputs!$B$24,"ARIDE cohort","Floor (ARIDE share below floor)"),IF(D217&gt;Inputs!$B$24,"Indian literature",IF(D217&gt;0,"Floor (Indian share below floor)","Floor (no Indian data)")))</f>
        <v>Floor (no Indian data)</v>
      </c>
      <c r="H217" s="23" t="n">
        <f aca="false">IF(B217="AR",Inputs!$B$14,IF(B217="AD",Inputs!$B$15,Inputs!$B$16))</f>
        <v>1</v>
      </c>
      <c r="I217" s="12"/>
      <c r="J217" s="24" t="n">
        <f aca="false">IF(I217="",H217,I217)</f>
        <v>1</v>
      </c>
      <c r="K217" s="12"/>
      <c r="L217" s="24" t="n">
        <f aca="false">IF(K217="",Inputs!$B$20,K217)</f>
        <v>0.5</v>
      </c>
      <c r="M217" s="25" t="n">
        <f aca="false">IF(B217="AR",SQRT(Inputs!$B$9*F217/J217),IF(B217="AD",Inputs!$B$9*F217/(2*J217),2*Inputs!$B$9*F217/J217))</f>
        <v>0.00470090743184764</v>
      </c>
      <c r="N217" s="25" t="n">
        <f aca="false">IF(B217="AR",IF(Inputs!$B$25=0,SQRT(Inputs!$B$8*F217/J217),(-Inputs!$B$25+SQRT(Inputs!$B$25^2+4*(1-Inputs!$B$25)*Inputs!$B$8*F217/J217))/(2*(1-Inputs!$B$25))),IF(B217="AD",Inputs!$B$8*F217/(2*J217),2*Inputs!$B$8*F217/J217))</f>
        <v>0.00416319359719033</v>
      </c>
      <c r="O217" s="25" t="n">
        <f aca="false">MIN(Inputs!$B$26,M217*L217)</f>
        <v>0.00235045371592382</v>
      </c>
      <c r="P217" s="25" t="n">
        <f aca="false">MIN(Inputs!$B$26,O217*Inputs!$B$19)</f>
        <v>0.0235045371592382</v>
      </c>
      <c r="Q217" s="25" t="n">
        <f aca="false">MIN(O217,N217*Inputs!$B$21)</f>
        <v>0.000208159679859516</v>
      </c>
      <c r="R217" s="26"/>
      <c r="S217" s="26"/>
      <c r="T217" s="26"/>
      <c r="U217" s="20" t="str">
        <f aca="false">IF(COUNT(R217:T217)&gt;0,"Published spec (+calc where blank)","Calculated (this workbook)")</f>
        <v>Calculated (this workbook)</v>
      </c>
      <c r="V217" s="28" t="n">
        <f aca="false">IF(R217="",MAX(P217,W217),R217)</f>
        <v>0.0235045371592382</v>
      </c>
      <c r="W217" s="28" t="n">
        <f aca="false">IF(S217="",O217,S217)</f>
        <v>0.00235045371592382</v>
      </c>
      <c r="X217" s="28" t="n">
        <f aca="false">IF(T217="",Q217,T217)</f>
        <v>0.000208159679859516</v>
      </c>
      <c r="Y217" s="20" t="str">
        <f aca="false">IF(S217="","",IF(O217&lt;S217,"Calc STRICTER (lower)","Calc more lenient (higher)"))</f>
        <v/>
      </c>
      <c r="Z217" s="20" t="str">
        <f aca="false">IF(B217="XL","Hemizygous male AF (grpmax)","grpmax FAF95; check SAS, IndiGen, GenomeIndia")</f>
        <v>grpmax FAF95; check SAS, IndiGen, GenomeIndia</v>
      </c>
      <c r="AA217" s="20"/>
      <c r="AB217" s="20"/>
    </row>
    <row r="218" customFormat="false" ht="15" hidden="false" customHeight="false" outlineLevel="0" collapsed="false">
      <c r="A218" s="19" t="s">
        <v>380</v>
      </c>
      <c r="B218" s="20" t="s">
        <v>96</v>
      </c>
      <c r="C218" s="20" t="s">
        <v>123</v>
      </c>
      <c r="D218" s="21" t="n">
        <f aca="false">SUMIF(Indian_Gene_Shares!$B$5:$B$47,A218,Indian_Gene_Shares!$G$5:$G$47)</f>
        <v>0</v>
      </c>
      <c r="E218" s="9" t="n">
        <f aca="false">IFERROR(INDEX(ARIDE_Cohort!$C$6:$C$207,MATCH(A218,ARIDE_Cohort!$A$6:$A$207,0)),0)</f>
        <v>0</v>
      </c>
      <c r="F218" s="22" t="n">
        <f aca="false">MAX(Inputs!$B$24,IF(AND(Inputs!$B$29="ARIDE cohort",ARIDE_Cohort!$B$3&gt;=Inputs!$B$30),E218,D218))</f>
        <v>0.01</v>
      </c>
      <c r="G218" s="20" t="str">
        <f aca="false">IF(AND(Inputs!$B$29="ARIDE cohort",ARIDE_Cohort!$B$3&gt;=Inputs!$B$30),IF(E218&gt;Inputs!$B$24,"ARIDE cohort","Floor (ARIDE share below floor)"),IF(D218&gt;Inputs!$B$24,"Indian literature",IF(D218&gt;0,"Floor (Indian share below floor)","Floor (no Indian data)")))</f>
        <v>Floor (no Indian data)</v>
      </c>
      <c r="H218" s="23" t="n">
        <f aca="false">IF(B218="AR",Inputs!$B$14,IF(B218="AD",Inputs!$B$15,Inputs!$B$16))</f>
        <v>1</v>
      </c>
      <c r="I218" s="12"/>
      <c r="J218" s="24" t="n">
        <f aca="false">IF(I218="",H218,I218)</f>
        <v>1</v>
      </c>
      <c r="K218" s="12"/>
      <c r="L218" s="24" t="n">
        <f aca="false">IF(K218="",Inputs!$B$20,K218)</f>
        <v>0.5</v>
      </c>
      <c r="M218" s="25" t="n">
        <f aca="false">IF(B218="AR",SQRT(Inputs!$B$9*F218/J218),IF(B218="AD",Inputs!$B$9*F218/(2*J218),2*Inputs!$B$9*F218/J218))</f>
        <v>0.00470090743184764</v>
      </c>
      <c r="N218" s="25" t="n">
        <f aca="false">IF(B218="AR",IF(Inputs!$B$25=0,SQRT(Inputs!$B$8*F218/J218),(-Inputs!$B$25+SQRT(Inputs!$B$25^2+4*(1-Inputs!$B$25)*Inputs!$B$8*F218/J218))/(2*(1-Inputs!$B$25))),IF(B218="AD",Inputs!$B$8*F218/(2*J218),2*Inputs!$B$8*F218/J218))</f>
        <v>0.00416319359719033</v>
      </c>
      <c r="O218" s="25" t="n">
        <f aca="false">MIN(Inputs!$B$26,M218*L218)</f>
        <v>0.00235045371592382</v>
      </c>
      <c r="P218" s="25" t="n">
        <f aca="false">MIN(Inputs!$B$26,O218*Inputs!$B$19)</f>
        <v>0.0235045371592382</v>
      </c>
      <c r="Q218" s="25" t="n">
        <f aca="false">MIN(O218,N218*Inputs!$B$21)</f>
        <v>0.000208159679859516</v>
      </c>
      <c r="R218" s="26"/>
      <c r="S218" s="26"/>
      <c r="T218" s="26"/>
      <c r="U218" s="20" t="str">
        <f aca="false">IF(COUNT(R218:T218)&gt;0,"Published spec (+calc where blank)","Calculated (this workbook)")</f>
        <v>Calculated (this workbook)</v>
      </c>
      <c r="V218" s="28" t="n">
        <f aca="false">IF(R218="",MAX(P218,W218),R218)</f>
        <v>0.0235045371592382</v>
      </c>
      <c r="W218" s="28" t="n">
        <f aca="false">IF(S218="",O218,S218)</f>
        <v>0.00235045371592382</v>
      </c>
      <c r="X218" s="28" t="n">
        <f aca="false">IF(T218="",Q218,T218)</f>
        <v>0.000208159679859516</v>
      </c>
      <c r="Y218" s="20" t="str">
        <f aca="false">IF(S218="","",IF(O218&lt;S218,"Calc STRICTER (lower)","Calc more lenient (higher)"))</f>
        <v/>
      </c>
      <c r="Z218" s="20" t="str">
        <f aca="false">IF(B218="XL","Hemizygous male AF (grpmax)","grpmax FAF95; check SAS, IndiGen, GenomeIndia")</f>
        <v>grpmax FAF95; check SAS, IndiGen, GenomeIndia</v>
      </c>
      <c r="AA218" s="20"/>
      <c r="AB218" s="20"/>
    </row>
    <row r="219" customFormat="false" ht="15" hidden="false" customHeight="false" outlineLevel="0" collapsed="false">
      <c r="A219" s="19" t="s">
        <v>381</v>
      </c>
      <c r="B219" s="20" t="s">
        <v>96</v>
      </c>
      <c r="C219" s="20" t="s">
        <v>103</v>
      </c>
      <c r="D219" s="21" t="n">
        <f aca="false">SUMIF(Indian_Gene_Shares!$B$5:$B$47,A219,Indian_Gene_Shares!$G$5:$G$47)</f>
        <v>0</v>
      </c>
      <c r="E219" s="9" t="n">
        <f aca="false">IFERROR(INDEX(ARIDE_Cohort!$C$6:$C$207,MATCH(A219,ARIDE_Cohort!$A$6:$A$207,0)),0)</f>
        <v>0</v>
      </c>
      <c r="F219" s="22" t="n">
        <f aca="false">MAX(Inputs!$B$24,IF(AND(Inputs!$B$29="ARIDE cohort",ARIDE_Cohort!$B$3&gt;=Inputs!$B$30),E219,D219))</f>
        <v>0.01</v>
      </c>
      <c r="G219" s="20" t="str">
        <f aca="false">IF(AND(Inputs!$B$29="ARIDE cohort",ARIDE_Cohort!$B$3&gt;=Inputs!$B$30),IF(E219&gt;Inputs!$B$24,"ARIDE cohort","Floor (ARIDE share below floor)"),IF(D219&gt;Inputs!$B$24,"Indian literature",IF(D219&gt;0,"Floor (Indian share below floor)","Floor (no Indian data)")))</f>
        <v>Floor (no Indian data)</v>
      </c>
      <c r="H219" s="23" t="n">
        <f aca="false">IF(B219="AR",Inputs!$B$14,IF(B219="AD",Inputs!$B$15,Inputs!$B$16))</f>
        <v>1</v>
      </c>
      <c r="I219" s="12"/>
      <c r="J219" s="24" t="n">
        <f aca="false">IF(I219="",H219,I219)</f>
        <v>1</v>
      </c>
      <c r="K219" s="12"/>
      <c r="L219" s="24" t="n">
        <f aca="false">IF(K219="",Inputs!$B$20,K219)</f>
        <v>0.5</v>
      </c>
      <c r="M219" s="25" t="n">
        <f aca="false">IF(B219="AR",SQRT(Inputs!$B$9*F219/J219),IF(B219="AD",Inputs!$B$9*F219/(2*J219),2*Inputs!$B$9*F219/J219))</f>
        <v>0.00470090743184764</v>
      </c>
      <c r="N219" s="25" t="n">
        <f aca="false">IF(B219="AR",IF(Inputs!$B$25=0,SQRT(Inputs!$B$8*F219/J219),(-Inputs!$B$25+SQRT(Inputs!$B$25^2+4*(1-Inputs!$B$25)*Inputs!$B$8*F219/J219))/(2*(1-Inputs!$B$25))),IF(B219="AD",Inputs!$B$8*F219/(2*J219),2*Inputs!$B$8*F219/J219))</f>
        <v>0.00416319359719033</v>
      </c>
      <c r="O219" s="25" t="n">
        <f aca="false">MIN(Inputs!$B$26,M219*L219)</f>
        <v>0.00235045371592382</v>
      </c>
      <c r="P219" s="25" t="n">
        <f aca="false">MIN(Inputs!$B$26,O219*Inputs!$B$19)</f>
        <v>0.0235045371592382</v>
      </c>
      <c r="Q219" s="25" t="n">
        <f aca="false">MIN(O219,N219*Inputs!$B$21)</f>
        <v>0.000208159679859516</v>
      </c>
      <c r="R219" s="26"/>
      <c r="S219" s="26"/>
      <c r="T219" s="26"/>
      <c r="U219" s="20" t="str">
        <f aca="false">IF(COUNT(R219:T219)&gt;0,"Published spec (+calc where blank)","Calculated (this workbook)")</f>
        <v>Calculated (this workbook)</v>
      </c>
      <c r="V219" s="28" t="n">
        <f aca="false">IF(R219="",MAX(P219,W219),R219)</f>
        <v>0.0235045371592382</v>
      </c>
      <c r="W219" s="28" t="n">
        <f aca="false">IF(S219="",O219,S219)</f>
        <v>0.00235045371592382</v>
      </c>
      <c r="X219" s="28" t="n">
        <f aca="false">IF(T219="",Q219,T219)</f>
        <v>0.000208159679859516</v>
      </c>
      <c r="Y219" s="20" t="str">
        <f aca="false">IF(S219="","",IF(O219&lt;S219,"Calc STRICTER (lower)","Calc more lenient (higher)"))</f>
        <v/>
      </c>
      <c r="Z219" s="20" t="str">
        <f aca="false">IF(B219="XL","Hemizygous male AF (grpmax)","grpmax FAF95; check SAS, IndiGen, GenomeIndia")</f>
        <v>grpmax FAF95; check SAS, IndiGen, GenomeIndia</v>
      </c>
      <c r="AA219" s="20"/>
      <c r="AB219" s="20"/>
    </row>
    <row r="220" customFormat="false" ht="15" hidden="false" customHeight="false" outlineLevel="0" collapsed="false">
      <c r="A220" s="19" t="s">
        <v>382</v>
      </c>
      <c r="B220" s="20" t="s">
        <v>96</v>
      </c>
      <c r="C220" s="20" t="s">
        <v>383</v>
      </c>
      <c r="D220" s="21" t="n">
        <f aca="false">SUMIF(Indian_Gene_Shares!$B$5:$B$47,A220,Indian_Gene_Shares!$G$5:$G$47)</f>
        <v>0</v>
      </c>
      <c r="E220" s="9" t="n">
        <f aca="false">IFERROR(INDEX(ARIDE_Cohort!$C$6:$C$207,MATCH(A220,ARIDE_Cohort!$A$6:$A$207,0)),0)</f>
        <v>0</v>
      </c>
      <c r="F220" s="22" t="n">
        <f aca="false">MAX(Inputs!$B$24,IF(AND(Inputs!$B$29="ARIDE cohort",ARIDE_Cohort!$B$3&gt;=Inputs!$B$30),E220,D220))</f>
        <v>0.01</v>
      </c>
      <c r="G220" s="20" t="str">
        <f aca="false">IF(AND(Inputs!$B$29="ARIDE cohort",ARIDE_Cohort!$B$3&gt;=Inputs!$B$30),IF(E220&gt;Inputs!$B$24,"ARIDE cohort","Floor (ARIDE share below floor)"),IF(D220&gt;Inputs!$B$24,"Indian literature",IF(D220&gt;0,"Floor (Indian share below floor)","Floor (no Indian data)")))</f>
        <v>Floor (no Indian data)</v>
      </c>
      <c r="H220" s="23" t="n">
        <f aca="false">IF(B220="AR",Inputs!$B$14,IF(B220="AD",Inputs!$B$15,Inputs!$B$16))</f>
        <v>1</v>
      </c>
      <c r="I220" s="12"/>
      <c r="J220" s="24" t="n">
        <f aca="false">IF(I220="",H220,I220)</f>
        <v>1</v>
      </c>
      <c r="K220" s="12"/>
      <c r="L220" s="24" t="n">
        <f aca="false">IF(K220="",Inputs!$B$20,K220)</f>
        <v>0.5</v>
      </c>
      <c r="M220" s="25" t="n">
        <f aca="false">IF(B220="AR",SQRT(Inputs!$B$9*F220/J220),IF(B220="AD",Inputs!$B$9*F220/(2*J220),2*Inputs!$B$9*F220/J220))</f>
        <v>0.00470090743184764</v>
      </c>
      <c r="N220" s="25" t="n">
        <f aca="false">IF(B220="AR",IF(Inputs!$B$25=0,SQRT(Inputs!$B$8*F220/J220),(-Inputs!$B$25+SQRT(Inputs!$B$25^2+4*(1-Inputs!$B$25)*Inputs!$B$8*F220/J220))/(2*(1-Inputs!$B$25))),IF(B220="AD",Inputs!$B$8*F220/(2*J220),2*Inputs!$B$8*F220/J220))</f>
        <v>0.00416319359719033</v>
      </c>
      <c r="O220" s="25" t="n">
        <f aca="false">MIN(Inputs!$B$26,M220*L220)</f>
        <v>0.00235045371592382</v>
      </c>
      <c r="P220" s="25" t="n">
        <f aca="false">MIN(Inputs!$B$26,O220*Inputs!$B$19)</f>
        <v>0.0235045371592382</v>
      </c>
      <c r="Q220" s="25" t="n">
        <f aca="false">MIN(O220,N220*Inputs!$B$21)</f>
        <v>0.000208159679859516</v>
      </c>
      <c r="R220" s="26"/>
      <c r="S220" s="26"/>
      <c r="T220" s="26"/>
      <c r="U220" s="20" t="str">
        <f aca="false">IF(COUNT(R220:T220)&gt;0,"Published spec (+calc where blank)","Calculated (this workbook)")</f>
        <v>Calculated (this workbook)</v>
      </c>
      <c r="V220" s="28" t="n">
        <f aca="false">IF(R220="",MAX(P220,W220),R220)</f>
        <v>0.0235045371592382</v>
      </c>
      <c r="W220" s="28" t="n">
        <f aca="false">IF(S220="",O220,S220)</f>
        <v>0.00235045371592382</v>
      </c>
      <c r="X220" s="28" t="n">
        <f aca="false">IF(T220="",Q220,T220)</f>
        <v>0.000208159679859516</v>
      </c>
      <c r="Y220" s="20" t="str">
        <f aca="false">IF(S220="","",IF(O220&lt;S220,"Calc STRICTER (lower)","Calc more lenient (higher)"))</f>
        <v/>
      </c>
      <c r="Z220" s="20" t="str">
        <f aca="false">IF(B220="XL","Hemizygous male AF (grpmax)","grpmax FAF95; check SAS, IndiGen, GenomeIndia")</f>
        <v>grpmax FAF95; check SAS, IndiGen, GenomeIndia</v>
      </c>
      <c r="AA220" s="20"/>
      <c r="AB220" s="20"/>
    </row>
    <row r="221" customFormat="false" ht="15" hidden="false" customHeight="false" outlineLevel="0" collapsed="false">
      <c r="A221" s="19" t="s">
        <v>384</v>
      </c>
      <c r="B221" s="20" t="s">
        <v>96</v>
      </c>
      <c r="C221" s="20" t="s">
        <v>190</v>
      </c>
      <c r="D221" s="21" t="n">
        <f aca="false">SUMIF(Indian_Gene_Shares!$B$5:$B$47,A221,Indian_Gene_Shares!$G$5:$G$47)</f>
        <v>0.0269248670212766</v>
      </c>
      <c r="E221" s="9" t="n">
        <f aca="false">IFERROR(INDEX(ARIDE_Cohort!$C$6:$C$207,MATCH(A221,ARIDE_Cohort!$A$6:$A$207,0)),0)</f>
        <v>0</v>
      </c>
      <c r="F221" s="22" t="n">
        <f aca="false">MAX(Inputs!$B$24,IF(AND(Inputs!$B$29="ARIDE cohort",ARIDE_Cohort!$B$3&gt;=Inputs!$B$30),E221,D221))</f>
        <v>0.0269248670212766</v>
      </c>
      <c r="G221" s="20" t="str">
        <f aca="false">IF(AND(Inputs!$B$29="ARIDE cohort",ARIDE_Cohort!$B$3&gt;=Inputs!$B$30),IF(E221&gt;Inputs!$B$24,"ARIDE cohort","Floor (ARIDE share below floor)"),IF(D221&gt;Inputs!$B$24,"Indian literature",IF(D221&gt;0,"Floor (Indian share below floor)","Floor (no Indian data)")))</f>
        <v>Indian literature</v>
      </c>
      <c r="H221" s="23" t="n">
        <f aca="false">IF(B221="AR",Inputs!$B$14,IF(B221="AD",Inputs!$B$15,Inputs!$B$16))</f>
        <v>1</v>
      </c>
      <c r="I221" s="12"/>
      <c r="J221" s="24" t="n">
        <f aca="false">IF(I221="",H221,I221)</f>
        <v>1</v>
      </c>
      <c r="K221" s="12"/>
      <c r="L221" s="24" t="n">
        <f aca="false">IF(K221="",Inputs!$B$20,K221)</f>
        <v>0.5</v>
      </c>
      <c r="M221" s="25" t="n">
        <f aca="false">IF(B221="AR",SQRT(Inputs!$B$9*F221/J221),IF(B221="AD",Inputs!$B$9*F221/(2*J221),2*Inputs!$B$9*F221/J221))</f>
        <v>0.00771362431027076</v>
      </c>
      <c r="N221" s="25" t="n">
        <f aca="false">IF(B221="AR",IF(Inputs!$B$25=0,SQRT(Inputs!$B$8*F221/J221),(-Inputs!$B$25+SQRT(Inputs!$B$25^2+4*(1-Inputs!$B$25)*Inputs!$B$8*F221/J221))/(2*(1-Inputs!$B$25))),IF(B221="AD",Inputs!$B$8*F221/(2*J221),2*Inputs!$B$8*F221/J221))</f>
        <v>0.00683130051063973</v>
      </c>
      <c r="O221" s="25" t="n">
        <f aca="false">MIN(Inputs!$B$26,M221*L221)</f>
        <v>0.00385681215513538</v>
      </c>
      <c r="P221" s="25" t="n">
        <f aca="false">MIN(Inputs!$B$26,O221*Inputs!$B$19)</f>
        <v>0.0385681215513538</v>
      </c>
      <c r="Q221" s="25" t="n">
        <f aca="false">MIN(O221,N221*Inputs!$B$21)</f>
        <v>0.000341565025531987</v>
      </c>
      <c r="R221" s="26"/>
      <c r="S221" s="26"/>
      <c r="T221" s="26"/>
      <c r="U221" s="20" t="str">
        <f aca="false">IF(COUNT(R221:T221)&gt;0,"Published spec (+calc where blank)","Calculated (this workbook)")</f>
        <v>Calculated (this workbook)</v>
      </c>
      <c r="V221" s="28" t="n">
        <f aca="false">IF(R221="",MAX(P221,W221),R221)</f>
        <v>0.0385681215513538</v>
      </c>
      <c r="W221" s="28" t="n">
        <f aca="false">IF(S221="",O221,S221)</f>
        <v>0.00385681215513538</v>
      </c>
      <c r="X221" s="28" t="n">
        <f aca="false">IF(T221="",Q221,T221)</f>
        <v>0.000341565025531987</v>
      </c>
      <c r="Y221" s="20" t="str">
        <f aca="false">IF(S221="","",IF(O221&lt;S221,"Calc STRICTER (lower)","Calc more lenient (higher)"))</f>
        <v/>
      </c>
      <c r="Z221" s="20" t="str">
        <f aca="false">IF(B221="XL","Hemizygous male AF (grpmax)","grpmax FAF95; check SAS, IndiGen, GenomeIndia")</f>
        <v>grpmax FAF95; check SAS, IndiGen, GenomeIndia</v>
      </c>
      <c r="AA221" s="20"/>
      <c r="AB221" s="20"/>
    </row>
    <row r="222" customFormat="false" ht="15" hidden="false" customHeight="false" outlineLevel="0" collapsed="false">
      <c r="A222" s="19" t="s">
        <v>385</v>
      </c>
      <c r="B222" s="20" t="s">
        <v>109</v>
      </c>
      <c r="C222" s="20" t="s">
        <v>103</v>
      </c>
      <c r="D222" s="21" t="n">
        <f aca="false">SUMIF(Indian_Gene_Shares!$B$5:$B$47,A222,Indian_Gene_Shares!$G$5:$G$47)</f>
        <v>0</v>
      </c>
      <c r="E222" s="9" t="n">
        <f aca="false">IFERROR(INDEX(ARIDE_Cohort!$C$6:$C$207,MATCH(A222,ARIDE_Cohort!$A$6:$A$207,0)),0)</f>
        <v>0</v>
      </c>
      <c r="F222" s="22" t="n">
        <f aca="false">MAX(Inputs!$B$24,IF(AND(Inputs!$B$29="ARIDE cohort",ARIDE_Cohort!$B$3&gt;=Inputs!$B$30),E222,D222))</f>
        <v>0.01</v>
      </c>
      <c r="G222" s="20" t="str">
        <f aca="false">IF(AND(Inputs!$B$29="ARIDE cohort",ARIDE_Cohort!$B$3&gt;=Inputs!$B$30),IF(E222&gt;Inputs!$B$24,"ARIDE cohort","Floor (ARIDE share below floor)"),IF(D222&gt;Inputs!$B$24,"Indian literature",IF(D222&gt;0,"Floor (Indian share below floor)","Floor (no Indian data)")))</f>
        <v>Floor (no Indian data)</v>
      </c>
      <c r="H222" s="23" t="n">
        <f aca="false">IF(B222="AR",Inputs!$B$14,IF(B222="AD",Inputs!$B$15,Inputs!$B$16))</f>
        <v>0.5</v>
      </c>
      <c r="I222" s="12"/>
      <c r="J222" s="24" t="n">
        <f aca="false">IF(I222="",H222,I222)</f>
        <v>0.5</v>
      </c>
      <c r="K222" s="12"/>
      <c r="L222" s="24" t="n">
        <f aca="false">IF(K222="",Inputs!$B$20,K222)</f>
        <v>0.5</v>
      </c>
      <c r="M222" s="25" t="n">
        <f aca="false">IF(B222="AR",SQRT(Inputs!$B$9*F222/J222),IF(B222="AD",Inputs!$B$9*F222/(2*J222),2*Inputs!$B$9*F222/J222))</f>
        <v>2.20985306828003E-005</v>
      </c>
      <c r="N222" s="25" t="n">
        <f aca="false">IF(B222="AR",IF(Inputs!$B$25=0,SQRT(Inputs!$B$8*F222/J222),(-Inputs!$B$25+SQRT(Inputs!$B$25^2+4*(1-Inputs!$B$25)*Inputs!$B$8*F222/J222))/(2*(1-Inputs!$B$25))),IF(B222="AD",Inputs!$B$8*F222/(2*J222),2*Inputs!$B$8*F222/J222))</f>
        <v>1.73321809276865E-005</v>
      </c>
      <c r="O222" s="25" t="n">
        <f aca="false">MIN(Inputs!$B$26,M222*L222)</f>
        <v>1.10492653414002E-005</v>
      </c>
      <c r="P222" s="25" t="n">
        <f aca="false">MIN(Inputs!$B$26,O222*Inputs!$B$19)</f>
        <v>0.000110492653414002</v>
      </c>
      <c r="Q222" s="25" t="n">
        <f aca="false">MIN(O222,N222*Inputs!$B$21)</f>
        <v>8.66609046384327E-007</v>
      </c>
      <c r="R222" s="26"/>
      <c r="S222" s="26"/>
      <c r="T222" s="26"/>
      <c r="U222" s="20" t="str">
        <f aca="false">IF(COUNT(R222:T222)&gt;0,"Published spec (+calc where blank)","Calculated (this workbook)")</f>
        <v>Calculated (this workbook)</v>
      </c>
      <c r="V222" s="28" t="n">
        <f aca="false">IF(R222="",MAX(P222,W222),R222)</f>
        <v>0.000110492653414002</v>
      </c>
      <c r="W222" s="28" t="n">
        <f aca="false">IF(S222="",O222,S222)</f>
        <v>1.10492653414002E-005</v>
      </c>
      <c r="X222" s="28" t="n">
        <f aca="false">IF(T222="",Q222,T222)</f>
        <v>8.66609046384327E-007</v>
      </c>
      <c r="Y222" s="20" t="str">
        <f aca="false">IF(S222="","",IF(O222&lt;S222,"Calc STRICTER (lower)","Calc more lenient (higher)"))</f>
        <v/>
      </c>
      <c r="Z222" s="20" t="str">
        <f aca="false">IF(B222="XL","Hemizygous male AF (grpmax)","grpmax FAF95; check SAS, IndiGen, GenomeIndia")</f>
        <v>grpmax FAF95; check SAS, IndiGen, GenomeIndia</v>
      </c>
      <c r="AA222" s="20"/>
      <c r="AB222" s="20"/>
    </row>
    <row r="223" customFormat="false" ht="15" hidden="false" customHeight="false" outlineLevel="0" collapsed="false">
      <c r="A223" s="19" t="s">
        <v>386</v>
      </c>
      <c r="B223" s="20" t="s">
        <v>96</v>
      </c>
      <c r="C223" s="20" t="s">
        <v>156</v>
      </c>
      <c r="D223" s="21" t="n">
        <f aca="false">SUMIF(Indian_Gene_Shares!$B$5:$B$47,A223,Indian_Gene_Shares!$G$5:$G$47)</f>
        <v>0</v>
      </c>
      <c r="E223" s="9" t="n">
        <f aca="false">IFERROR(INDEX(ARIDE_Cohort!$C$6:$C$207,MATCH(A223,ARIDE_Cohort!$A$6:$A$207,0)),0)</f>
        <v>0</v>
      </c>
      <c r="F223" s="22" t="n">
        <f aca="false">MAX(Inputs!$B$24,IF(AND(Inputs!$B$29="ARIDE cohort",ARIDE_Cohort!$B$3&gt;=Inputs!$B$30),E223,D223))</f>
        <v>0.01</v>
      </c>
      <c r="G223" s="20" t="str">
        <f aca="false">IF(AND(Inputs!$B$29="ARIDE cohort",ARIDE_Cohort!$B$3&gt;=Inputs!$B$30),IF(E223&gt;Inputs!$B$24,"ARIDE cohort","Floor (ARIDE share below floor)"),IF(D223&gt;Inputs!$B$24,"Indian literature",IF(D223&gt;0,"Floor (Indian share below floor)","Floor (no Indian data)")))</f>
        <v>Floor (no Indian data)</v>
      </c>
      <c r="H223" s="23" t="n">
        <f aca="false">IF(B223="AR",Inputs!$B$14,IF(B223="AD",Inputs!$B$15,Inputs!$B$16))</f>
        <v>1</v>
      </c>
      <c r="I223" s="12"/>
      <c r="J223" s="24" t="n">
        <f aca="false">IF(I223="",H223,I223)</f>
        <v>1</v>
      </c>
      <c r="K223" s="12"/>
      <c r="L223" s="24" t="n">
        <f aca="false">IF(K223="",Inputs!$B$20,K223)</f>
        <v>0.5</v>
      </c>
      <c r="M223" s="25" t="n">
        <f aca="false">IF(B223="AR",SQRT(Inputs!$B$9*F223/J223),IF(B223="AD",Inputs!$B$9*F223/(2*J223),2*Inputs!$B$9*F223/J223))</f>
        <v>0.00470090743184764</v>
      </c>
      <c r="N223" s="25" t="n">
        <f aca="false">IF(B223="AR",IF(Inputs!$B$25=0,SQRT(Inputs!$B$8*F223/J223),(-Inputs!$B$25+SQRT(Inputs!$B$25^2+4*(1-Inputs!$B$25)*Inputs!$B$8*F223/J223))/(2*(1-Inputs!$B$25))),IF(B223="AD",Inputs!$B$8*F223/(2*J223),2*Inputs!$B$8*F223/J223))</f>
        <v>0.00416319359719033</v>
      </c>
      <c r="O223" s="25" t="n">
        <f aca="false">MIN(Inputs!$B$26,M223*L223)</f>
        <v>0.00235045371592382</v>
      </c>
      <c r="P223" s="25" t="n">
        <f aca="false">MIN(Inputs!$B$26,O223*Inputs!$B$19)</f>
        <v>0.0235045371592382</v>
      </c>
      <c r="Q223" s="25" t="n">
        <f aca="false">MIN(O223,N223*Inputs!$B$21)</f>
        <v>0.000208159679859516</v>
      </c>
      <c r="R223" s="26"/>
      <c r="S223" s="26"/>
      <c r="T223" s="26"/>
      <c r="U223" s="20" t="str">
        <f aca="false">IF(COUNT(R223:T223)&gt;0,"Published spec (+calc where blank)","Calculated (this workbook)")</f>
        <v>Calculated (this workbook)</v>
      </c>
      <c r="V223" s="28" t="n">
        <f aca="false">IF(R223="",MAX(P223,W223),R223)</f>
        <v>0.0235045371592382</v>
      </c>
      <c r="W223" s="28" t="n">
        <f aca="false">IF(S223="",O223,S223)</f>
        <v>0.00235045371592382</v>
      </c>
      <c r="X223" s="28" t="n">
        <f aca="false">IF(T223="",Q223,T223)</f>
        <v>0.000208159679859516</v>
      </c>
      <c r="Y223" s="20" t="str">
        <f aca="false">IF(S223="","",IF(O223&lt;S223,"Calc STRICTER (lower)","Calc more lenient (higher)"))</f>
        <v/>
      </c>
      <c r="Z223" s="20" t="str">
        <f aca="false">IF(B223="XL","Hemizygous male AF (grpmax)","grpmax FAF95; check SAS, IndiGen, GenomeIndia")</f>
        <v>grpmax FAF95; check SAS, IndiGen, GenomeIndia</v>
      </c>
      <c r="AA223" s="20"/>
      <c r="AB223" s="20"/>
    </row>
    <row r="224" customFormat="false" ht="15" hidden="false" customHeight="false" outlineLevel="0" collapsed="false">
      <c r="A224" s="19" t="s">
        <v>387</v>
      </c>
      <c r="B224" s="20" t="s">
        <v>96</v>
      </c>
      <c r="C224" s="20" t="s">
        <v>156</v>
      </c>
      <c r="D224" s="21" t="n">
        <f aca="false">SUMIF(Indian_Gene_Shares!$B$5:$B$47,A224,Indian_Gene_Shares!$G$5:$G$47)</f>
        <v>0</v>
      </c>
      <c r="E224" s="9" t="n">
        <f aca="false">IFERROR(INDEX(ARIDE_Cohort!$C$6:$C$207,MATCH(A224,ARIDE_Cohort!$A$6:$A$207,0)),0)</f>
        <v>0</v>
      </c>
      <c r="F224" s="22" t="n">
        <f aca="false">MAX(Inputs!$B$24,IF(AND(Inputs!$B$29="ARIDE cohort",ARIDE_Cohort!$B$3&gt;=Inputs!$B$30),E224,D224))</f>
        <v>0.01</v>
      </c>
      <c r="G224" s="20" t="str">
        <f aca="false">IF(AND(Inputs!$B$29="ARIDE cohort",ARIDE_Cohort!$B$3&gt;=Inputs!$B$30),IF(E224&gt;Inputs!$B$24,"ARIDE cohort","Floor (ARIDE share below floor)"),IF(D224&gt;Inputs!$B$24,"Indian literature",IF(D224&gt;0,"Floor (Indian share below floor)","Floor (no Indian data)")))</f>
        <v>Floor (no Indian data)</v>
      </c>
      <c r="H224" s="23" t="n">
        <f aca="false">IF(B224="AR",Inputs!$B$14,IF(B224="AD",Inputs!$B$15,Inputs!$B$16))</f>
        <v>1</v>
      </c>
      <c r="I224" s="12"/>
      <c r="J224" s="24" t="n">
        <f aca="false">IF(I224="",H224,I224)</f>
        <v>1</v>
      </c>
      <c r="K224" s="12"/>
      <c r="L224" s="24" t="n">
        <f aca="false">IF(K224="",Inputs!$B$20,K224)</f>
        <v>0.5</v>
      </c>
      <c r="M224" s="25" t="n">
        <f aca="false">IF(B224="AR",SQRT(Inputs!$B$9*F224/J224),IF(B224="AD",Inputs!$B$9*F224/(2*J224),2*Inputs!$B$9*F224/J224))</f>
        <v>0.00470090743184764</v>
      </c>
      <c r="N224" s="25" t="n">
        <f aca="false">IF(B224="AR",IF(Inputs!$B$25=0,SQRT(Inputs!$B$8*F224/J224),(-Inputs!$B$25+SQRT(Inputs!$B$25^2+4*(1-Inputs!$B$25)*Inputs!$B$8*F224/J224))/(2*(1-Inputs!$B$25))),IF(B224="AD",Inputs!$B$8*F224/(2*J224),2*Inputs!$B$8*F224/J224))</f>
        <v>0.00416319359719033</v>
      </c>
      <c r="O224" s="25" t="n">
        <f aca="false">MIN(Inputs!$B$26,M224*L224)</f>
        <v>0.00235045371592382</v>
      </c>
      <c r="P224" s="25" t="n">
        <f aca="false">MIN(Inputs!$B$26,O224*Inputs!$B$19)</f>
        <v>0.0235045371592382</v>
      </c>
      <c r="Q224" s="25" t="n">
        <f aca="false">MIN(O224,N224*Inputs!$B$21)</f>
        <v>0.000208159679859516</v>
      </c>
      <c r="R224" s="26"/>
      <c r="S224" s="26"/>
      <c r="T224" s="26"/>
      <c r="U224" s="20" t="str">
        <f aca="false">IF(COUNT(R224:T224)&gt;0,"Published spec (+calc where blank)","Calculated (this workbook)")</f>
        <v>Calculated (this workbook)</v>
      </c>
      <c r="V224" s="28" t="n">
        <f aca="false">IF(R224="",MAX(P224,W224),R224)</f>
        <v>0.0235045371592382</v>
      </c>
      <c r="W224" s="28" t="n">
        <f aca="false">IF(S224="",O224,S224)</f>
        <v>0.00235045371592382</v>
      </c>
      <c r="X224" s="28" t="n">
        <f aca="false">IF(T224="",Q224,T224)</f>
        <v>0.000208159679859516</v>
      </c>
      <c r="Y224" s="20" t="str">
        <f aca="false">IF(S224="","",IF(O224&lt;S224,"Calc STRICTER (lower)","Calc more lenient (higher)"))</f>
        <v/>
      </c>
      <c r="Z224" s="20" t="str">
        <f aca="false">IF(B224="XL","Hemizygous male AF (grpmax)","grpmax FAF95; check SAS, IndiGen, GenomeIndia")</f>
        <v>grpmax FAF95; check SAS, IndiGen, GenomeIndia</v>
      </c>
      <c r="AA224" s="20"/>
      <c r="AB224" s="20"/>
    </row>
    <row r="225" customFormat="false" ht="15" hidden="false" customHeight="false" outlineLevel="0" collapsed="false">
      <c r="A225" s="19" t="s">
        <v>388</v>
      </c>
      <c r="B225" s="20" t="s">
        <v>96</v>
      </c>
      <c r="C225" s="20" t="s">
        <v>389</v>
      </c>
      <c r="D225" s="21" t="n">
        <f aca="false">SUMIF(Indian_Gene_Shares!$B$5:$B$47,A225,Indian_Gene_Shares!$G$5:$G$47)</f>
        <v>0.0384640957446809</v>
      </c>
      <c r="E225" s="9" t="n">
        <f aca="false">IFERROR(INDEX(ARIDE_Cohort!$C$6:$C$207,MATCH(A225,ARIDE_Cohort!$A$6:$A$207,0)),0)</f>
        <v>0</v>
      </c>
      <c r="F225" s="22" t="n">
        <f aca="false">MAX(Inputs!$B$24,IF(AND(Inputs!$B$29="ARIDE cohort",ARIDE_Cohort!$B$3&gt;=Inputs!$B$30),E225,D225))</f>
        <v>0.0384640957446809</v>
      </c>
      <c r="G225" s="20" t="str">
        <f aca="false">IF(AND(Inputs!$B$29="ARIDE cohort",ARIDE_Cohort!$B$3&gt;=Inputs!$B$30),IF(E225&gt;Inputs!$B$24,"ARIDE cohort","Floor (ARIDE share below floor)"),IF(D225&gt;Inputs!$B$24,"Indian literature",IF(D225&gt;0,"Floor (Indian share below floor)","Floor (no Indian data)")))</f>
        <v>Indian literature</v>
      </c>
      <c r="H225" s="23" t="n">
        <f aca="false">IF(B225="AR",Inputs!$B$14,IF(B225="AD",Inputs!$B$15,Inputs!$B$16))</f>
        <v>1</v>
      </c>
      <c r="I225" s="12"/>
      <c r="J225" s="24" t="n">
        <f aca="false">IF(I225="",H225,I225)</f>
        <v>1</v>
      </c>
      <c r="K225" s="12"/>
      <c r="L225" s="24" t="n">
        <f aca="false">IF(K225="",Inputs!$B$20,K225)</f>
        <v>0.5</v>
      </c>
      <c r="M225" s="25" t="n">
        <f aca="false">IF(B225="AR",SQRT(Inputs!$B$9*F225/J225),IF(B225="AD",Inputs!$B$9*F225/(2*J225),2*Inputs!$B$9*F225/J225))</f>
        <v>0.00921954445729289</v>
      </c>
      <c r="N225" s="25" t="n">
        <f aca="false">IF(B225="AR",IF(Inputs!$B$25=0,SQRT(Inputs!$B$8*F225/J225),(-Inputs!$B$25+SQRT(Inputs!$B$25^2+4*(1-Inputs!$B$25)*Inputs!$B$8*F225/J225))/(2*(1-Inputs!$B$25))),IF(B225="AD",Inputs!$B$8*F225/(2*J225),2*Inputs!$B$8*F225/J225))</f>
        <v>0.00816496580927726</v>
      </c>
      <c r="O225" s="25" t="n">
        <f aca="false">MIN(Inputs!$B$26,M225*L225)</f>
        <v>0.00460977222864644</v>
      </c>
      <c r="P225" s="25" t="n">
        <f aca="false">MIN(Inputs!$B$26,O225*Inputs!$B$19)</f>
        <v>0.0460977222864644</v>
      </c>
      <c r="Q225" s="25" t="n">
        <f aca="false">MIN(O225,N225*Inputs!$B$21)</f>
        <v>0.000408248290463863</v>
      </c>
      <c r="R225" s="27" t="n">
        <v>0.005</v>
      </c>
      <c r="S225" s="27" t="n">
        <v>0.003</v>
      </c>
      <c r="T225" s="27" t="n">
        <v>7E-005</v>
      </c>
      <c r="U225" s="20" t="str">
        <f aca="false">IF(COUNT(R225:T225)&gt;0,"Published spec (+calc where blank)","Calculated (this workbook)")</f>
        <v>Published spec (+calc where blank)</v>
      </c>
      <c r="V225" s="28" t="n">
        <f aca="false">IF(R225="",MAX(P225,W225),R225)</f>
        <v>0.005</v>
      </c>
      <c r="W225" s="28" t="n">
        <f aca="false">IF(S225="",O225,S225)</f>
        <v>0.003</v>
      </c>
      <c r="X225" s="28" t="n">
        <f aca="false">IF(T225="",Q225,T225)</f>
        <v>7E-005</v>
      </c>
      <c r="Y225" s="20" t="str">
        <f aca="false">IF(S225="","",IF(O225&lt;S225,"Calc STRICTER (lower)","Calc more lenient (higher)"))</f>
        <v>Calc more lenient (higher)</v>
      </c>
      <c r="Z225" s="20" t="str">
        <f aca="false">IF(B225="XL","Hemizygous male AF (grpmax)","grpmax FAF95; check SAS, IndiGen, GenomeIndia")</f>
        <v>grpmax FAF95; check SAS, IndiGen, GenomeIndia</v>
      </c>
      <c r="AA225" s="20" t="s">
        <v>157</v>
      </c>
      <c r="AB225" s="20"/>
    </row>
    <row r="226" customFormat="false" ht="15" hidden="false" customHeight="false" outlineLevel="0" collapsed="false">
      <c r="A226" s="19" t="s">
        <v>390</v>
      </c>
      <c r="B226" s="20" t="s">
        <v>96</v>
      </c>
      <c r="C226" s="20" t="s">
        <v>162</v>
      </c>
      <c r="D226" s="21" t="n">
        <f aca="false">SUMIF(Indian_Gene_Shares!$B$5:$B$47,A226,Indian_Gene_Shares!$G$5:$G$47)</f>
        <v>0</v>
      </c>
      <c r="E226" s="9" t="n">
        <f aca="false">IFERROR(INDEX(ARIDE_Cohort!$C$6:$C$207,MATCH(A226,ARIDE_Cohort!$A$6:$A$207,0)),0)</f>
        <v>0</v>
      </c>
      <c r="F226" s="22" t="n">
        <f aca="false">MAX(Inputs!$B$24,IF(AND(Inputs!$B$29="ARIDE cohort",ARIDE_Cohort!$B$3&gt;=Inputs!$B$30),E226,D226))</f>
        <v>0.01</v>
      </c>
      <c r="G226" s="20" t="str">
        <f aca="false">IF(AND(Inputs!$B$29="ARIDE cohort",ARIDE_Cohort!$B$3&gt;=Inputs!$B$30),IF(E226&gt;Inputs!$B$24,"ARIDE cohort","Floor (ARIDE share below floor)"),IF(D226&gt;Inputs!$B$24,"Indian literature",IF(D226&gt;0,"Floor (Indian share below floor)","Floor (no Indian data)")))</f>
        <v>Floor (no Indian data)</v>
      </c>
      <c r="H226" s="23" t="n">
        <f aca="false">IF(B226="AR",Inputs!$B$14,IF(B226="AD",Inputs!$B$15,Inputs!$B$16))</f>
        <v>1</v>
      </c>
      <c r="I226" s="12"/>
      <c r="J226" s="24" t="n">
        <f aca="false">IF(I226="",H226,I226)</f>
        <v>1</v>
      </c>
      <c r="K226" s="12"/>
      <c r="L226" s="24" t="n">
        <f aca="false">IF(K226="",Inputs!$B$20,K226)</f>
        <v>0.5</v>
      </c>
      <c r="M226" s="25" t="n">
        <f aca="false">IF(B226="AR",SQRT(Inputs!$B$9*F226/J226),IF(B226="AD",Inputs!$B$9*F226/(2*J226),2*Inputs!$B$9*F226/J226))</f>
        <v>0.00470090743184764</v>
      </c>
      <c r="N226" s="25" t="n">
        <f aca="false">IF(B226="AR",IF(Inputs!$B$25=0,SQRT(Inputs!$B$8*F226/J226),(-Inputs!$B$25+SQRT(Inputs!$B$25^2+4*(1-Inputs!$B$25)*Inputs!$B$8*F226/J226))/(2*(1-Inputs!$B$25))),IF(B226="AD",Inputs!$B$8*F226/(2*J226),2*Inputs!$B$8*F226/J226))</f>
        <v>0.00416319359719033</v>
      </c>
      <c r="O226" s="25" t="n">
        <f aca="false">MIN(Inputs!$B$26,M226*L226)</f>
        <v>0.00235045371592382</v>
      </c>
      <c r="P226" s="25" t="n">
        <f aca="false">MIN(Inputs!$B$26,O226*Inputs!$B$19)</f>
        <v>0.0235045371592382</v>
      </c>
      <c r="Q226" s="25" t="n">
        <f aca="false">MIN(O226,N226*Inputs!$B$21)</f>
        <v>0.000208159679859516</v>
      </c>
      <c r="R226" s="26"/>
      <c r="S226" s="26"/>
      <c r="T226" s="26"/>
      <c r="U226" s="20" t="str">
        <f aca="false">IF(COUNT(R226:T226)&gt;0,"Published spec (+calc where blank)","Calculated (this workbook)")</f>
        <v>Calculated (this workbook)</v>
      </c>
      <c r="V226" s="28" t="n">
        <f aca="false">IF(R226="",MAX(P226,W226),R226)</f>
        <v>0.0235045371592382</v>
      </c>
      <c r="W226" s="28" t="n">
        <f aca="false">IF(S226="",O226,S226)</f>
        <v>0.00235045371592382</v>
      </c>
      <c r="X226" s="28" t="n">
        <f aca="false">IF(T226="",Q226,T226)</f>
        <v>0.000208159679859516</v>
      </c>
      <c r="Y226" s="20" t="str">
        <f aca="false">IF(S226="","",IF(O226&lt;S226,"Calc STRICTER (lower)","Calc more lenient (higher)"))</f>
        <v/>
      </c>
      <c r="Z226" s="20" t="str">
        <f aca="false">IF(B226="XL","Hemizygous male AF (grpmax)","grpmax FAF95; check SAS, IndiGen, GenomeIndia")</f>
        <v>grpmax FAF95; check SAS, IndiGen, GenomeIndia</v>
      </c>
      <c r="AA226" s="20"/>
      <c r="AB226" s="20"/>
    </row>
    <row r="227" customFormat="false" ht="15" hidden="false" customHeight="false" outlineLevel="0" collapsed="false">
      <c r="A227" s="19" t="s">
        <v>391</v>
      </c>
      <c r="B227" s="20" t="s">
        <v>96</v>
      </c>
      <c r="C227" s="20" t="s">
        <v>107</v>
      </c>
      <c r="D227" s="21" t="n">
        <f aca="false">SUMIF(Indian_Gene_Shares!$B$5:$B$47,A227,Indian_Gene_Shares!$G$5:$G$47)</f>
        <v>0</v>
      </c>
      <c r="E227" s="9" t="n">
        <f aca="false">IFERROR(INDEX(ARIDE_Cohort!$C$6:$C$207,MATCH(A227,ARIDE_Cohort!$A$6:$A$207,0)),0)</f>
        <v>0</v>
      </c>
      <c r="F227" s="22" t="n">
        <f aca="false">MAX(Inputs!$B$24,IF(AND(Inputs!$B$29="ARIDE cohort",ARIDE_Cohort!$B$3&gt;=Inputs!$B$30),E227,D227))</f>
        <v>0.01</v>
      </c>
      <c r="G227" s="20" t="str">
        <f aca="false">IF(AND(Inputs!$B$29="ARIDE cohort",ARIDE_Cohort!$B$3&gt;=Inputs!$B$30),IF(E227&gt;Inputs!$B$24,"ARIDE cohort","Floor (ARIDE share below floor)"),IF(D227&gt;Inputs!$B$24,"Indian literature",IF(D227&gt;0,"Floor (Indian share below floor)","Floor (no Indian data)")))</f>
        <v>Floor (no Indian data)</v>
      </c>
      <c r="H227" s="23" t="n">
        <f aca="false">IF(B227="AR",Inputs!$B$14,IF(B227="AD",Inputs!$B$15,Inputs!$B$16))</f>
        <v>1</v>
      </c>
      <c r="I227" s="12"/>
      <c r="J227" s="24" t="n">
        <f aca="false">IF(I227="",H227,I227)</f>
        <v>1</v>
      </c>
      <c r="K227" s="12"/>
      <c r="L227" s="24" t="n">
        <f aca="false">IF(K227="",Inputs!$B$20,K227)</f>
        <v>0.5</v>
      </c>
      <c r="M227" s="25" t="n">
        <f aca="false">IF(B227="AR",SQRT(Inputs!$B$9*F227/J227),IF(B227="AD",Inputs!$B$9*F227/(2*J227),2*Inputs!$B$9*F227/J227))</f>
        <v>0.00470090743184764</v>
      </c>
      <c r="N227" s="25" t="n">
        <f aca="false">IF(B227="AR",IF(Inputs!$B$25=0,SQRT(Inputs!$B$8*F227/J227),(-Inputs!$B$25+SQRT(Inputs!$B$25^2+4*(1-Inputs!$B$25)*Inputs!$B$8*F227/J227))/(2*(1-Inputs!$B$25))),IF(B227="AD",Inputs!$B$8*F227/(2*J227),2*Inputs!$B$8*F227/J227))</f>
        <v>0.00416319359719033</v>
      </c>
      <c r="O227" s="25" t="n">
        <f aca="false">MIN(Inputs!$B$26,M227*L227)</f>
        <v>0.00235045371592382</v>
      </c>
      <c r="P227" s="25" t="n">
        <f aca="false">MIN(Inputs!$B$26,O227*Inputs!$B$19)</f>
        <v>0.0235045371592382</v>
      </c>
      <c r="Q227" s="25" t="n">
        <f aca="false">MIN(O227,N227*Inputs!$B$21)</f>
        <v>0.000208159679859516</v>
      </c>
      <c r="R227" s="26"/>
      <c r="S227" s="26"/>
      <c r="T227" s="26"/>
      <c r="U227" s="20" t="str">
        <f aca="false">IF(COUNT(R227:T227)&gt;0,"Published spec (+calc where blank)","Calculated (this workbook)")</f>
        <v>Calculated (this workbook)</v>
      </c>
      <c r="V227" s="28" t="n">
        <f aca="false">IF(R227="",MAX(P227,W227),R227)</f>
        <v>0.0235045371592382</v>
      </c>
      <c r="W227" s="28" t="n">
        <f aca="false">IF(S227="",O227,S227)</f>
        <v>0.00235045371592382</v>
      </c>
      <c r="X227" s="28" t="n">
        <f aca="false">IF(T227="",Q227,T227)</f>
        <v>0.000208159679859516</v>
      </c>
      <c r="Y227" s="20" t="str">
        <f aca="false">IF(S227="","",IF(O227&lt;S227,"Calc STRICTER (lower)","Calc more lenient (higher)"))</f>
        <v/>
      </c>
      <c r="Z227" s="20" t="str">
        <f aca="false">IF(B227="XL","Hemizygous male AF (grpmax)","grpmax FAF95; check SAS, IndiGen, GenomeIndia")</f>
        <v>grpmax FAF95; check SAS, IndiGen, GenomeIndia</v>
      </c>
      <c r="AA227" s="20"/>
      <c r="AB227" s="20"/>
    </row>
    <row r="228" customFormat="false" ht="15" hidden="false" customHeight="false" outlineLevel="0" collapsed="false">
      <c r="A228" s="19" t="s">
        <v>392</v>
      </c>
      <c r="B228" s="20" t="s">
        <v>109</v>
      </c>
      <c r="C228" s="20" t="s">
        <v>211</v>
      </c>
      <c r="D228" s="21" t="n">
        <f aca="false">SUMIF(Indian_Gene_Shares!$B$5:$B$47,A228,Indian_Gene_Shares!$G$5:$G$47)</f>
        <v>0</v>
      </c>
      <c r="E228" s="9" t="n">
        <f aca="false">IFERROR(INDEX(ARIDE_Cohort!$C$6:$C$207,MATCH(A228,ARIDE_Cohort!$A$6:$A$207,0)),0)</f>
        <v>0</v>
      </c>
      <c r="F228" s="22" t="n">
        <f aca="false">MAX(Inputs!$B$24,IF(AND(Inputs!$B$29="ARIDE cohort",ARIDE_Cohort!$B$3&gt;=Inputs!$B$30),E228,D228))</f>
        <v>0.01</v>
      </c>
      <c r="G228" s="20" t="str">
        <f aca="false">IF(AND(Inputs!$B$29="ARIDE cohort",ARIDE_Cohort!$B$3&gt;=Inputs!$B$30),IF(E228&gt;Inputs!$B$24,"ARIDE cohort","Floor (ARIDE share below floor)"),IF(D228&gt;Inputs!$B$24,"Indian literature",IF(D228&gt;0,"Floor (Indian share below floor)","Floor (no Indian data)")))</f>
        <v>Floor (no Indian data)</v>
      </c>
      <c r="H228" s="23" t="n">
        <f aca="false">IF(B228="AR",Inputs!$B$14,IF(B228="AD",Inputs!$B$15,Inputs!$B$16))</f>
        <v>0.5</v>
      </c>
      <c r="I228" s="12"/>
      <c r="J228" s="24" t="n">
        <f aca="false">IF(I228="",H228,I228)</f>
        <v>0.5</v>
      </c>
      <c r="K228" s="12"/>
      <c r="L228" s="24" t="n">
        <f aca="false">IF(K228="",Inputs!$B$20,K228)</f>
        <v>0.5</v>
      </c>
      <c r="M228" s="25" t="n">
        <f aca="false">IF(B228="AR",SQRT(Inputs!$B$9*F228/J228),IF(B228="AD",Inputs!$B$9*F228/(2*J228),2*Inputs!$B$9*F228/J228))</f>
        <v>2.20985306828003E-005</v>
      </c>
      <c r="N228" s="25" t="n">
        <f aca="false">IF(B228="AR",IF(Inputs!$B$25=0,SQRT(Inputs!$B$8*F228/J228),(-Inputs!$B$25+SQRT(Inputs!$B$25^2+4*(1-Inputs!$B$25)*Inputs!$B$8*F228/J228))/(2*(1-Inputs!$B$25))),IF(B228="AD",Inputs!$B$8*F228/(2*J228),2*Inputs!$B$8*F228/J228))</f>
        <v>1.73321809276865E-005</v>
      </c>
      <c r="O228" s="25" t="n">
        <f aca="false">MIN(Inputs!$B$26,M228*L228)</f>
        <v>1.10492653414002E-005</v>
      </c>
      <c r="P228" s="25" t="n">
        <f aca="false">MIN(Inputs!$B$26,O228*Inputs!$B$19)</f>
        <v>0.000110492653414002</v>
      </c>
      <c r="Q228" s="25" t="n">
        <f aca="false">MIN(O228,N228*Inputs!$B$21)</f>
        <v>8.66609046384327E-007</v>
      </c>
      <c r="R228" s="26"/>
      <c r="S228" s="26"/>
      <c r="T228" s="26"/>
      <c r="U228" s="20" t="str">
        <f aca="false">IF(COUNT(R228:T228)&gt;0,"Published spec (+calc where blank)","Calculated (this workbook)")</f>
        <v>Calculated (this workbook)</v>
      </c>
      <c r="V228" s="28" t="n">
        <f aca="false">IF(R228="",MAX(P228,W228),R228)</f>
        <v>0.000110492653414002</v>
      </c>
      <c r="W228" s="28" t="n">
        <f aca="false">IF(S228="",O228,S228)</f>
        <v>1.10492653414002E-005</v>
      </c>
      <c r="X228" s="28" t="n">
        <f aca="false">IF(T228="",Q228,T228)</f>
        <v>8.66609046384327E-007</v>
      </c>
      <c r="Y228" s="20" t="str">
        <f aca="false">IF(S228="","",IF(O228&lt;S228,"Calc STRICTER (lower)","Calc more lenient (higher)"))</f>
        <v/>
      </c>
      <c r="Z228" s="20" t="str">
        <f aca="false">IF(B228="XL","Hemizygous male AF (grpmax)","grpmax FAF95; check SAS, IndiGen, GenomeIndia")</f>
        <v>grpmax FAF95; check SAS, IndiGen, GenomeIndia</v>
      </c>
      <c r="AA228" s="20"/>
      <c r="AB228" s="20"/>
    </row>
    <row r="229" customFormat="false" ht="15" hidden="false" customHeight="false" outlineLevel="0" collapsed="false">
      <c r="A229" s="19" t="s">
        <v>393</v>
      </c>
      <c r="B229" s="20" t="s">
        <v>96</v>
      </c>
      <c r="C229" s="20" t="s">
        <v>105</v>
      </c>
      <c r="D229" s="21" t="n">
        <f aca="false">SUMIF(Indian_Gene_Shares!$B$5:$B$47,A229,Indian_Gene_Shares!$G$5:$G$47)</f>
        <v>0</v>
      </c>
      <c r="E229" s="9" t="n">
        <f aca="false">IFERROR(INDEX(ARIDE_Cohort!$C$6:$C$207,MATCH(A229,ARIDE_Cohort!$A$6:$A$207,0)),0)</f>
        <v>0</v>
      </c>
      <c r="F229" s="22" t="n">
        <f aca="false">MAX(Inputs!$B$24,IF(AND(Inputs!$B$29="ARIDE cohort",ARIDE_Cohort!$B$3&gt;=Inputs!$B$30),E229,D229))</f>
        <v>0.01</v>
      </c>
      <c r="G229" s="20" t="str">
        <f aca="false">IF(AND(Inputs!$B$29="ARIDE cohort",ARIDE_Cohort!$B$3&gt;=Inputs!$B$30),IF(E229&gt;Inputs!$B$24,"ARIDE cohort","Floor (ARIDE share below floor)"),IF(D229&gt;Inputs!$B$24,"Indian literature",IF(D229&gt;0,"Floor (Indian share below floor)","Floor (no Indian data)")))</f>
        <v>Floor (no Indian data)</v>
      </c>
      <c r="H229" s="23" t="n">
        <f aca="false">IF(B229="AR",Inputs!$B$14,IF(B229="AD",Inputs!$B$15,Inputs!$B$16))</f>
        <v>1</v>
      </c>
      <c r="I229" s="12"/>
      <c r="J229" s="24" t="n">
        <f aca="false">IF(I229="",H229,I229)</f>
        <v>1</v>
      </c>
      <c r="K229" s="12"/>
      <c r="L229" s="24" t="n">
        <f aca="false">IF(K229="",Inputs!$B$20,K229)</f>
        <v>0.5</v>
      </c>
      <c r="M229" s="25" t="n">
        <f aca="false">IF(B229="AR",SQRT(Inputs!$B$9*F229/J229),IF(B229="AD",Inputs!$B$9*F229/(2*J229),2*Inputs!$B$9*F229/J229))</f>
        <v>0.00470090743184764</v>
      </c>
      <c r="N229" s="25" t="n">
        <f aca="false">IF(B229="AR",IF(Inputs!$B$25=0,SQRT(Inputs!$B$8*F229/J229),(-Inputs!$B$25+SQRT(Inputs!$B$25^2+4*(1-Inputs!$B$25)*Inputs!$B$8*F229/J229))/(2*(1-Inputs!$B$25))),IF(B229="AD",Inputs!$B$8*F229/(2*J229),2*Inputs!$B$8*F229/J229))</f>
        <v>0.00416319359719033</v>
      </c>
      <c r="O229" s="25" t="n">
        <f aca="false">MIN(Inputs!$B$26,M229*L229)</f>
        <v>0.00235045371592382</v>
      </c>
      <c r="P229" s="25" t="n">
        <f aca="false">MIN(Inputs!$B$26,O229*Inputs!$B$19)</f>
        <v>0.0235045371592382</v>
      </c>
      <c r="Q229" s="25" t="n">
        <f aca="false">MIN(O229,N229*Inputs!$B$21)</f>
        <v>0.000208159679859516</v>
      </c>
      <c r="R229" s="26"/>
      <c r="S229" s="26"/>
      <c r="T229" s="26"/>
      <c r="U229" s="20" t="str">
        <f aca="false">IF(COUNT(R229:T229)&gt;0,"Published spec (+calc where blank)","Calculated (this workbook)")</f>
        <v>Calculated (this workbook)</v>
      </c>
      <c r="V229" s="28" t="n">
        <f aca="false">IF(R229="",MAX(P229,W229),R229)</f>
        <v>0.0235045371592382</v>
      </c>
      <c r="W229" s="28" t="n">
        <f aca="false">IF(S229="",O229,S229)</f>
        <v>0.00235045371592382</v>
      </c>
      <c r="X229" s="28" t="n">
        <f aca="false">IF(T229="",Q229,T229)</f>
        <v>0.000208159679859516</v>
      </c>
      <c r="Y229" s="20" t="str">
        <f aca="false">IF(S229="","",IF(O229&lt;S229,"Calc STRICTER (lower)","Calc more lenient (higher)"))</f>
        <v/>
      </c>
      <c r="Z229" s="20" t="str">
        <f aca="false">IF(B229="XL","Hemizygous male AF (grpmax)","grpmax FAF95; check SAS, IndiGen, GenomeIndia")</f>
        <v>grpmax FAF95; check SAS, IndiGen, GenomeIndia</v>
      </c>
      <c r="AA229" s="20"/>
      <c r="AB229" s="20"/>
    </row>
  </sheetData>
  <autoFilter ref="A4:AB229"/>
  <mergeCells count="1"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4" t="s">
        <v>394</v>
      </c>
    </row>
    <row r="2" customFormat="false" ht="15" hidden="false" customHeight="false" outlineLevel="0" collapsed="false">
      <c r="A2" s="7" t="s">
        <v>395</v>
      </c>
    </row>
    <row r="4" customFormat="false" ht="15" hidden="false" customHeight="false" outlineLevel="0" collapsed="false">
      <c r="A4" s="18" t="s">
        <v>396</v>
      </c>
      <c r="B4" s="18" t="s">
        <v>397</v>
      </c>
      <c r="C4" s="18" t="s">
        <v>398</v>
      </c>
      <c r="D4" s="18" t="s">
        <v>399</v>
      </c>
    </row>
    <row r="5" customFormat="false" ht="15" hidden="false" customHeight="false" outlineLevel="0" collapsed="false">
      <c r="A5" s="7" t="s">
        <v>105</v>
      </c>
      <c r="B5" s="7" t="s">
        <v>400</v>
      </c>
      <c r="C5" s="29" t="n">
        <v>16198</v>
      </c>
      <c r="D5" s="30" t="n">
        <f aca="false">C5/$C$14</f>
        <v>0.769281914893617</v>
      </c>
    </row>
    <row r="6" customFormat="false" ht="15" hidden="false" customHeight="false" outlineLevel="0" collapsed="false">
      <c r="A6" s="7" t="s">
        <v>401</v>
      </c>
      <c r="B6" s="7" t="s">
        <v>402</v>
      </c>
      <c r="C6" s="29" t="n">
        <v>2175</v>
      </c>
      <c r="D6" s="30" t="n">
        <f aca="false">C6/$C$14</f>
        <v>0.103295972644377</v>
      </c>
    </row>
    <row r="7" customFormat="false" ht="15" hidden="false" customHeight="false" outlineLevel="0" collapsed="false">
      <c r="A7" s="7" t="s">
        <v>403</v>
      </c>
      <c r="B7" s="7" t="s">
        <v>404</v>
      </c>
      <c r="C7" s="29" t="n">
        <v>957</v>
      </c>
      <c r="D7" s="30" t="n">
        <f aca="false">C7/$C$14</f>
        <v>0.0454502279635258</v>
      </c>
    </row>
    <row r="8" customFormat="false" ht="15" hidden="false" customHeight="false" outlineLevel="0" collapsed="false">
      <c r="A8" s="7" t="s">
        <v>405</v>
      </c>
      <c r="B8" s="7" t="s">
        <v>406</v>
      </c>
      <c r="C8" s="29" t="n">
        <v>841</v>
      </c>
      <c r="D8" s="30" t="n">
        <f aca="false">C8/$C$14</f>
        <v>0.0399411094224924</v>
      </c>
    </row>
    <row r="9" customFormat="false" ht="15" hidden="false" customHeight="false" outlineLevel="0" collapsed="false">
      <c r="A9" s="7" t="s">
        <v>129</v>
      </c>
      <c r="B9" s="7" t="s">
        <v>407</v>
      </c>
      <c r="C9" s="29" t="n">
        <v>494</v>
      </c>
      <c r="D9" s="30" t="n">
        <f aca="false">C9/$C$14</f>
        <v>0.0234612462006079</v>
      </c>
    </row>
    <row r="10" customFormat="false" ht="15" hidden="false" customHeight="false" outlineLevel="0" collapsed="false">
      <c r="A10" s="7" t="s">
        <v>112</v>
      </c>
      <c r="B10" s="7" t="s">
        <v>408</v>
      </c>
      <c r="C10" s="29" t="n">
        <v>138</v>
      </c>
      <c r="D10" s="30" t="n">
        <f aca="false">C10/$C$14</f>
        <v>0.00655395136778116</v>
      </c>
    </row>
    <row r="11" customFormat="false" ht="15" hidden="false" customHeight="false" outlineLevel="0" collapsed="false">
      <c r="A11" s="7" t="s">
        <v>115</v>
      </c>
      <c r="B11" s="7" t="s">
        <v>409</v>
      </c>
      <c r="C11" s="29" t="n">
        <v>134</v>
      </c>
      <c r="D11" s="30" t="n">
        <f aca="false">C11/$C$14</f>
        <v>0.00636398176291793</v>
      </c>
    </row>
    <row r="12" customFormat="false" ht="15" hidden="false" customHeight="false" outlineLevel="0" collapsed="false">
      <c r="A12" s="7" t="s">
        <v>360</v>
      </c>
      <c r="B12" s="7" t="s">
        <v>410</v>
      </c>
      <c r="C12" s="29" t="n">
        <v>110</v>
      </c>
      <c r="D12" s="30" t="n">
        <f aca="false">C12/$C$14</f>
        <v>0.0052241641337386</v>
      </c>
    </row>
    <row r="13" customFormat="false" ht="15" hidden="false" customHeight="false" outlineLevel="0" collapsed="false">
      <c r="A13" s="7" t="s">
        <v>411</v>
      </c>
      <c r="B13" s="7" t="s">
        <v>412</v>
      </c>
      <c r="C13" s="29" t="n">
        <v>9</v>
      </c>
      <c r="D13" s="30" t="n">
        <f aca="false">C13/$C$14</f>
        <v>0.000427431610942249</v>
      </c>
    </row>
    <row r="14" customFormat="false" ht="15" hidden="false" customHeight="false" outlineLevel="0" collapsed="false">
      <c r="B14" s="31" t="s">
        <v>413</v>
      </c>
      <c r="C14" s="32" t="n">
        <f aca="false">SUM(C5:C13)</f>
        <v>21056</v>
      </c>
      <c r="D14" s="33" t="n">
        <f aca="false">SUM(D5:D13)</f>
        <v>1</v>
      </c>
    </row>
    <row r="16" customFormat="false" ht="15" hidden="false" customHeight="false" outlineLevel="0" collapsed="false">
      <c r="A16" s="7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4" t="s">
        <v>415</v>
      </c>
    </row>
    <row r="2" customFormat="false" ht="15" hidden="false" customHeight="false" outlineLevel="0" collapsed="false">
      <c r="A2" s="7" t="s">
        <v>416</v>
      </c>
    </row>
    <row r="4" customFormat="false" ht="23.85" hidden="false" customHeight="false" outlineLevel="0" collapsed="false">
      <c r="A4" s="18" t="s">
        <v>397</v>
      </c>
      <c r="B4" s="18" t="s">
        <v>67</v>
      </c>
      <c r="C4" s="18" t="s">
        <v>417</v>
      </c>
      <c r="D4" s="18" t="s">
        <v>418</v>
      </c>
      <c r="E4" s="18" t="s">
        <v>419</v>
      </c>
      <c r="F4" s="18" t="s">
        <v>420</v>
      </c>
      <c r="G4" s="18" t="s">
        <v>421</v>
      </c>
    </row>
    <row r="5" customFormat="false" ht="15" hidden="false" customHeight="false" outlineLevel="0" collapsed="false">
      <c r="A5" s="7" t="s">
        <v>105</v>
      </c>
      <c r="B5" s="7" t="s">
        <v>169</v>
      </c>
      <c r="C5" s="14" t="n">
        <v>0.15</v>
      </c>
      <c r="D5" s="13" t="n">
        <v>178</v>
      </c>
      <c r="E5" s="7" t="s">
        <v>422</v>
      </c>
      <c r="F5" s="34" t="n">
        <f aca="false">INDEX(Phenotype_Mix!$D:$D,MATCH(A5,Phenotype_Mix!$A:$A,0))</f>
        <v>0.769281914893617</v>
      </c>
      <c r="G5" s="35" t="n">
        <f aca="false">C5*F5</f>
        <v>0.115392287234043</v>
      </c>
    </row>
    <row r="6" customFormat="false" ht="15" hidden="false" customHeight="false" outlineLevel="0" collapsed="false">
      <c r="A6" s="7" t="s">
        <v>105</v>
      </c>
      <c r="B6" s="7" t="s">
        <v>208</v>
      </c>
      <c r="C6" s="14" t="n">
        <v>0.07</v>
      </c>
      <c r="D6" s="13" t="n">
        <v>178</v>
      </c>
      <c r="E6" s="7" t="s">
        <v>423</v>
      </c>
      <c r="F6" s="34" t="n">
        <f aca="false">INDEX(Phenotype_Mix!$D:$D,MATCH(A6,Phenotype_Mix!$A:$A,0))</f>
        <v>0.769281914893617</v>
      </c>
      <c r="G6" s="35" t="n">
        <f aca="false">C6*F6</f>
        <v>0.0538497340425532</v>
      </c>
    </row>
    <row r="7" customFormat="false" ht="15" hidden="false" customHeight="false" outlineLevel="0" collapsed="false">
      <c r="A7" s="7" t="s">
        <v>105</v>
      </c>
      <c r="B7" s="7" t="s">
        <v>351</v>
      </c>
      <c r="C7" s="14" t="n">
        <v>0.07</v>
      </c>
      <c r="D7" s="13" t="n">
        <v>178</v>
      </c>
      <c r="E7" s="7" t="s">
        <v>423</v>
      </c>
      <c r="F7" s="34" t="n">
        <f aca="false">INDEX(Phenotype_Mix!$D:$D,MATCH(A7,Phenotype_Mix!$A:$A,0))</f>
        <v>0.769281914893617</v>
      </c>
      <c r="G7" s="35" t="n">
        <f aca="false">C7*F7</f>
        <v>0.0538497340425532</v>
      </c>
    </row>
    <row r="8" customFormat="false" ht="15" hidden="false" customHeight="false" outlineLevel="0" collapsed="false">
      <c r="A8" s="7" t="s">
        <v>105</v>
      </c>
      <c r="B8" s="7" t="s">
        <v>388</v>
      </c>
      <c r="C8" s="14" t="n">
        <v>0.05</v>
      </c>
      <c r="D8" s="13" t="n">
        <v>178</v>
      </c>
      <c r="E8" s="7" t="s">
        <v>424</v>
      </c>
      <c r="F8" s="34" t="n">
        <f aca="false">INDEX(Phenotype_Mix!$D:$D,MATCH(A8,Phenotype_Mix!$A:$A,0))</f>
        <v>0.769281914893617</v>
      </c>
      <c r="G8" s="35" t="n">
        <f aca="false">C8*F8</f>
        <v>0.0384640957446809</v>
      </c>
    </row>
    <row r="9" customFormat="false" ht="15" hidden="false" customHeight="false" outlineLevel="0" collapsed="false">
      <c r="A9" s="7" t="s">
        <v>105</v>
      </c>
      <c r="B9" s="7" t="s">
        <v>189</v>
      </c>
      <c r="C9" s="14" t="n">
        <v>0.05</v>
      </c>
      <c r="D9" s="13" t="n">
        <v>178</v>
      </c>
      <c r="E9" s="7" t="s">
        <v>424</v>
      </c>
      <c r="F9" s="34" t="n">
        <f aca="false">INDEX(Phenotype_Mix!$D:$D,MATCH(A9,Phenotype_Mix!$A:$A,0))</f>
        <v>0.769281914893617</v>
      </c>
      <c r="G9" s="35" t="n">
        <f aca="false">C9*F9</f>
        <v>0.0384640957446809</v>
      </c>
    </row>
    <row r="10" customFormat="false" ht="15" hidden="false" customHeight="false" outlineLevel="0" collapsed="false">
      <c r="A10" s="7" t="s">
        <v>105</v>
      </c>
      <c r="B10" s="7" t="s">
        <v>314</v>
      </c>
      <c r="C10" s="14" t="n">
        <v>0.05</v>
      </c>
      <c r="D10" s="13" t="n">
        <v>178</v>
      </c>
      <c r="E10" s="7" t="s">
        <v>424</v>
      </c>
      <c r="F10" s="34" t="n">
        <f aca="false">INDEX(Phenotype_Mix!$D:$D,MATCH(A10,Phenotype_Mix!$A:$A,0))</f>
        <v>0.769281914893617</v>
      </c>
      <c r="G10" s="35" t="n">
        <f aca="false">C10*F10</f>
        <v>0.0384640957446809</v>
      </c>
    </row>
    <row r="11" customFormat="false" ht="15" hidden="false" customHeight="false" outlineLevel="0" collapsed="false">
      <c r="A11" s="7" t="s">
        <v>105</v>
      </c>
      <c r="B11" s="7" t="s">
        <v>384</v>
      </c>
      <c r="C11" s="14" t="n">
        <v>0.035</v>
      </c>
      <c r="D11" s="13" t="n">
        <v>178</v>
      </c>
      <c r="E11" s="7" t="s">
        <v>425</v>
      </c>
      <c r="F11" s="34" t="n">
        <f aca="false">INDEX(Phenotype_Mix!$D:$D,MATCH(A11,Phenotype_Mix!$A:$A,0))</f>
        <v>0.769281914893617</v>
      </c>
      <c r="G11" s="35" t="n">
        <f aca="false">C11*F11</f>
        <v>0.0269248670212766</v>
      </c>
    </row>
    <row r="12" customFormat="false" ht="15" hidden="false" customHeight="false" outlineLevel="0" collapsed="false">
      <c r="A12" s="7" t="s">
        <v>105</v>
      </c>
      <c r="B12" s="7" t="s">
        <v>317</v>
      </c>
      <c r="C12" s="14" t="n">
        <v>0.035</v>
      </c>
      <c r="D12" s="13" t="n">
        <v>178</v>
      </c>
      <c r="E12" s="7" t="s">
        <v>425</v>
      </c>
      <c r="F12" s="34" t="n">
        <f aca="false">INDEX(Phenotype_Mix!$D:$D,MATCH(A12,Phenotype_Mix!$A:$A,0))</f>
        <v>0.769281914893617</v>
      </c>
      <c r="G12" s="35" t="n">
        <f aca="false">C12*F12</f>
        <v>0.0269248670212766</v>
      </c>
    </row>
    <row r="13" customFormat="false" ht="15" hidden="false" customHeight="false" outlineLevel="0" collapsed="false">
      <c r="A13" s="7" t="s">
        <v>105</v>
      </c>
      <c r="B13" s="7" t="s">
        <v>332</v>
      </c>
      <c r="C13" s="14" t="n">
        <v>0.035</v>
      </c>
      <c r="D13" s="13" t="n">
        <v>178</v>
      </c>
      <c r="E13" s="7" t="s">
        <v>425</v>
      </c>
      <c r="F13" s="34" t="n">
        <f aca="false">INDEX(Phenotype_Mix!$D:$D,MATCH(A13,Phenotype_Mix!$A:$A,0))</f>
        <v>0.769281914893617</v>
      </c>
      <c r="G13" s="35" t="n">
        <f aca="false">C13*F13</f>
        <v>0.0269248670212766</v>
      </c>
    </row>
    <row r="14" customFormat="false" ht="15" hidden="false" customHeight="false" outlineLevel="0" collapsed="false">
      <c r="A14" s="7" t="s">
        <v>105</v>
      </c>
      <c r="B14" s="7" t="s">
        <v>346</v>
      </c>
      <c r="C14" s="14" t="n">
        <v>0.03</v>
      </c>
      <c r="D14" s="13" t="n">
        <v>178</v>
      </c>
      <c r="E14" s="7" t="s">
        <v>426</v>
      </c>
      <c r="F14" s="34" t="n">
        <f aca="false">INDEX(Phenotype_Mix!$D:$D,MATCH(A14,Phenotype_Mix!$A:$A,0))</f>
        <v>0.769281914893617</v>
      </c>
      <c r="G14" s="35" t="n">
        <f aca="false">C14*F14</f>
        <v>0.0230784574468085</v>
      </c>
    </row>
    <row r="15" customFormat="false" ht="15" hidden="false" customHeight="false" outlineLevel="0" collapsed="false">
      <c r="A15" s="7" t="s">
        <v>105</v>
      </c>
      <c r="B15" s="7" t="s">
        <v>182</v>
      </c>
      <c r="C15" s="14" t="n">
        <v>0.03</v>
      </c>
      <c r="D15" s="13" t="n">
        <v>178</v>
      </c>
      <c r="E15" s="7" t="s">
        <v>426</v>
      </c>
      <c r="F15" s="34" t="n">
        <f aca="false">INDEX(Phenotype_Mix!$D:$D,MATCH(A15,Phenotype_Mix!$A:$A,0))</f>
        <v>0.769281914893617</v>
      </c>
      <c r="G15" s="35" t="n">
        <f aca="false">C15*F15</f>
        <v>0.0230784574468085</v>
      </c>
    </row>
    <row r="16" customFormat="false" ht="15" hidden="false" customHeight="false" outlineLevel="0" collapsed="false">
      <c r="A16" s="7" t="s">
        <v>105</v>
      </c>
      <c r="B16" s="7" t="s">
        <v>209</v>
      </c>
      <c r="C16" s="14" t="n">
        <v>0.03</v>
      </c>
      <c r="D16" s="13" t="n">
        <v>178</v>
      </c>
      <c r="E16" s="7" t="s">
        <v>426</v>
      </c>
      <c r="F16" s="34" t="n">
        <f aca="false">INDEX(Phenotype_Mix!$D:$D,MATCH(A16,Phenotype_Mix!$A:$A,0))</f>
        <v>0.769281914893617</v>
      </c>
      <c r="G16" s="35" t="n">
        <f aca="false">C16*F16</f>
        <v>0.0230784574468085</v>
      </c>
    </row>
    <row r="17" customFormat="false" ht="15" hidden="false" customHeight="false" outlineLevel="0" collapsed="false">
      <c r="A17" s="7" t="s">
        <v>115</v>
      </c>
      <c r="B17" s="7" t="s">
        <v>226</v>
      </c>
      <c r="C17" s="14" t="n">
        <v>0.1897</v>
      </c>
      <c r="D17" s="13" t="n">
        <v>130</v>
      </c>
      <c r="E17" s="7" t="s">
        <v>427</v>
      </c>
      <c r="F17" s="34" t="n">
        <f aca="false">INDEX(Phenotype_Mix!$D:$D,MATCH(A17,Phenotype_Mix!$A:$A,0))</f>
        <v>0.00636398176291793</v>
      </c>
      <c r="G17" s="35" t="n">
        <f aca="false">C17*F17</f>
        <v>0.00120724734042553</v>
      </c>
    </row>
    <row r="18" customFormat="false" ht="15" hidden="false" customHeight="false" outlineLevel="0" collapsed="false">
      <c r="A18" s="7" t="s">
        <v>115</v>
      </c>
      <c r="B18" s="7" t="s">
        <v>351</v>
      </c>
      <c r="C18" s="14" t="n">
        <v>0.1751</v>
      </c>
      <c r="D18" s="13" t="n">
        <v>130</v>
      </c>
      <c r="E18" s="7" t="s">
        <v>428</v>
      </c>
      <c r="F18" s="34" t="n">
        <f aca="false">INDEX(Phenotype_Mix!$D:$D,MATCH(A18,Phenotype_Mix!$A:$A,0))</f>
        <v>0.00636398176291793</v>
      </c>
      <c r="G18" s="35" t="n">
        <f aca="false">C18*F18</f>
        <v>0.00111433320668693</v>
      </c>
    </row>
    <row r="19" customFormat="false" ht="15" hidden="false" customHeight="false" outlineLevel="0" collapsed="false">
      <c r="A19" s="7" t="s">
        <v>115</v>
      </c>
      <c r="B19" s="7" t="s">
        <v>114</v>
      </c>
      <c r="C19" s="14" t="n">
        <v>0.1313</v>
      </c>
      <c r="D19" s="13" t="n">
        <v>130</v>
      </c>
      <c r="E19" s="7" t="s">
        <v>429</v>
      </c>
      <c r="F19" s="34" t="n">
        <f aca="false">INDEX(Phenotype_Mix!$D:$D,MATCH(A19,Phenotype_Mix!$A:$A,0))</f>
        <v>0.00636398176291793</v>
      </c>
      <c r="G19" s="35" t="n">
        <f aca="false">C19*F19</f>
        <v>0.000835590805471125</v>
      </c>
    </row>
    <row r="20" customFormat="false" ht="15" hidden="false" customHeight="false" outlineLevel="0" collapsed="false">
      <c r="A20" s="7" t="s">
        <v>115</v>
      </c>
      <c r="B20" s="7" t="s">
        <v>356</v>
      </c>
      <c r="C20" s="14" t="n">
        <v>0.06</v>
      </c>
      <c r="D20" s="13" t="n">
        <v>130</v>
      </c>
      <c r="E20" s="7" t="s">
        <v>430</v>
      </c>
      <c r="F20" s="34" t="n">
        <f aca="false">INDEX(Phenotype_Mix!$D:$D,MATCH(A20,Phenotype_Mix!$A:$A,0))</f>
        <v>0.00636398176291793</v>
      </c>
      <c r="G20" s="35" t="n">
        <f aca="false">C20*F20</f>
        <v>0.000381838905775076</v>
      </c>
    </row>
    <row r="21" customFormat="false" ht="15" hidden="false" customHeight="false" outlineLevel="0" collapsed="false">
      <c r="A21" s="7" t="s">
        <v>115</v>
      </c>
      <c r="B21" s="7" t="s">
        <v>189</v>
      </c>
      <c r="C21" s="14" t="n">
        <v>0.06</v>
      </c>
      <c r="D21" s="13" t="n">
        <v>130</v>
      </c>
      <c r="E21" s="7" t="s">
        <v>430</v>
      </c>
      <c r="F21" s="34" t="n">
        <f aca="false">INDEX(Phenotype_Mix!$D:$D,MATCH(A21,Phenotype_Mix!$A:$A,0))</f>
        <v>0.00636398176291793</v>
      </c>
      <c r="G21" s="35" t="n">
        <f aca="false">C21*F21</f>
        <v>0.000381838905775076</v>
      </c>
    </row>
    <row r="22" customFormat="false" ht="15" hidden="false" customHeight="false" outlineLevel="0" collapsed="false">
      <c r="A22" s="7" t="s">
        <v>115</v>
      </c>
      <c r="B22" s="7" t="s">
        <v>252</v>
      </c>
      <c r="C22" s="14" t="n">
        <v>0.06</v>
      </c>
      <c r="D22" s="13" t="n">
        <v>130</v>
      </c>
      <c r="E22" s="7" t="s">
        <v>430</v>
      </c>
      <c r="F22" s="34" t="n">
        <f aca="false">INDEX(Phenotype_Mix!$D:$D,MATCH(A22,Phenotype_Mix!$A:$A,0))</f>
        <v>0.00636398176291793</v>
      </c>
      <c r="G22" s="35" t="n">
        <f aca="false">C22*F22</f>
        <v>0.000381838905775076</v>
      </c>
    </row>
    <row r="23" customFormat="false" ht="15" hidden="false" customHeight="false" outlineLevel="0" collapsed="false">
      <c r="A23" s="7" t="s">
        <v>115</v>
      </c>
      <c r="B23" s="7" t="s">
        <v>243</v>
      </c>
      <c r="C23" s="14" t="n">
        <v>0.06</v>
      </c>
      <c r="D23" s="13" t="n">
        <v>130</v>
      </c>
      <c r="E23" s="7" t="s">
        <v>430</v>
      </c>
      <c r="F23" s="34" t="n">
        <f aca="false">INDEX(Phenotype_Mix!$D:$D,MATCH(A23,Phenotype_Mix!$A:$A,0))</f>
        <v>0.00636398176291793</v>
      </c>
      <c r="G23" s="35" t="n">
        <f aca="false">C23*F23</f>
        <v>0.000381838905775076</v>
      </c>
    </row>
    <row r="24" customFormat="false" ht="15" hidden="false" customHeight="false" outlineLevel="0" collapsed="false">
      <c r="A24" s="7" t="s">
        <v>115</v>
      </c>
      <c r="B24" s="7" t="s">
        <v>371</v>
      </c>
      <c r="C24" s="14" t="n">
        <v>0.06</v>
      </c>
      <c r="D24" s="13" t="n">
        <v>130</v>
      </c>
      <c r="E24" s="7" t="s">
        <v>430</v>
      </c>
      <c r="F24" s="34" t="n">
        <f aca="false">INDEX(Phenotype_Mix!$D:$D,MATCH(A24,Phenotype_Mix!$A:$A,0))</f>
        <v>0.00636398176291793</v>
      </c>
      <c r="G24" s="35" t="n">
        <f aca="false">C24*F24</f>
        <v>0.000381838905775076</v>
      </c>
    </row>
    <row r="25" customFormat="false" ht="15" hidden="false" customHeight="false" outlineLevel="0" collapsed="false">
      <c r="A25" s="7" t="s">
        <v>115</v>
      </c>
      <c r="B25" s="7" t="s">
        <v>192</v>
      </c>
      <c r="C25" s="14" t="n">
        <v>0.06</v>
      </c>
      <c r="D25" s="13" t="n">
        <v>130</v>
      </c>
      <c r="E25" s="7" t="s">
        <v>430</v>
      </c>
      <c r="F25" s="34" t="n">
        <f aca="false">INDEX(Phenotype_Mix!$D:$D,MATCH(A25,Phenotype_Mix!$A:$A,0))</f>
        <v>0.00636398176291793</v>
      </c>
      <c r="G25" s="35" t="n">
        <f aca="false">C25*F25</f>
        <v>0.000381838905775076</v>
      </c>
    </row>
    <row r="26" customFormat="false" ht="15" hidden="false" customHeight="false" outlineLevel="0" collapsed="false">
      <c r="A26" s="7" t="s">
        <v>115</v>
      </c>
      <c r="B26" s="7" t="s">
        <v>165</v>
      </c>
      <c r="C26" s="14" t="n">
        <v>0.0218</v>
      </c>
      <c r="D26" s="13" t="n">
        <v>130</v>
      </c>
      <c r="E26" s="7" t="s">
        <v>431</v>
      </c>
      <c r="F26" s="34" t="n">
        <f aca="false">INDEX(Phenotype_Mix!$D:$D,MATCH(A26,Phenotype_Mix!$A:$A,0))</f>
        <v>0.00636398176291793</v>
      </c>
      <c r="G26" s="35" t="n">
        <f aca="false">C26*F26</f>
        <v>0.000138734802431611</v>
      </c>
    </row>
    <row r="27" customFormat="false" ht="15" hidden="false" customHeight="false" outlineLevel="0" collapsed="false">
      <c r="A27" s="7" t="s">
        <v>401</v>
      </c>
      <c r="B27" s="7" t="s">
        <v>95</v>
      </c>
      <c r="C27" s="14" t="n">
        <v>0.8947</v>
      </c>
      <c r="D27" s="13" t="n">
        <v>43</v>
      </c>
      <c r="E27" s="7" t="s">
        <v>432</v>
      </c>
      <c r="F27" s="34" t="n">
        <f aca="false">INDEX(Phenotype_Mix!$D:$D,MATCH(A27,Phenotype_Mix!$A:$A,0))</f>
        <v>0.103295972644377</v>
      </c>
      <c r="G27" s="35" t="n">
        <f aca="false">C27*F27</f>
        <v>0.092418906724924</v>
      </c>
    </row>
    <row r="28" customFormat="false" ht="15" hidden="false" customHeight="false" outlineLevel="0" collapsed="false">
      <c r="A28" s="7" t="s">
        <v>401</v>
      </c>
      <c r="B28" s="7" t="s">
        <v>291</v>
      </c>
      <c r="C28" s="14" t="n">
        <v>0.0526</v>
      </c>
      <c r="D28" s="13" t="n">
        <v>43</v>
      </c>
      <c r="E28" s="7" t="s">
        <v>433</v>
      </c>
      <c r="F28" s="34" t="n">
        <f aca="false">INDEX(Phenotype_Mix!$D:$D,MATCH(A28,Phenotype_Mix!$A:$A,0))</f>
        <v>0.103295972644377</v>
      </c>
      <c r="G28" s="35" t="n">
        <f aca="false">C28*F28</f>
        <v>0.00543336816109423</v>
      </c>
    </row>
    <row r="29" customFormat="false" ht="15" hidden="false" customHeight="false" outlineLevel="0" collapsed="false">
      <c r="A29" s="7" t="s">
        <v>401</v>
      </c>
      <c r="B29" s="7" t="s">
        <v>169</v>
      </c>
      <c r="C29" s="14" t="n">
        <v>0.0175</v>
      </c>
      <c r="D29" s="13" t="n">
        <v>43</v>
      </c>
      <c r="E29" s="7" t="s">
        <v>434</v>
      </c>
      <c r="F29" s="34" t="n">
        <f aca="false">INDEX(Phenotype_Mix!$D:$D,MATCH(A29,Phenotype_Mix!$A:$A,0))</f>
        <v>0.103295972644377</v>
      </c>
      <c r="G29" s="35" t="n">
        <f aca="false">C29*F29</f>
        <v>0.0018076795212766</v>
      </c>
    </row>
    <row r="30" customFormat="false" ht="15" hidden="false" customHeight="false" outlineLevel="0" collapsed="false">
      <c r="A30" s="7" t="s">
        <v>401</v>
      </c>
      <c r="B30" s="7" t="s">
        <v>314</v>
      </c>
      <c r="C30" s="14" t="n">
        <v>0.0175</v>
      </c>
      <c r="D30" s="13" t="n">
        <v>43</v>
      </c>
      <c r="E30" s="7" t="s">
        <v>434</v>
      </c>
      <c r="F30" s="34" t="n">
        <f aca="false">INDEX(Phenotype_Mix!$D:$D,MATCH(A30,Phenotype_Mix!$A:$A,0))</f>
        <v>0.103295972644377</v>
      </c>
      <c r="G30" s="35" t="n">
        <f aca="false">C30*F30</f>
        <v>0.0018076795212766</v>
      </c>
    </row>
    <row r="31" customFormat="false" ht="15" hidden="false" customHeight="false" outlineLevel="0" collapsed="false">
      <c r="A31" s="7" t="s">
        <v>401</v>
      </c>
      <c r="B31" s="7" t="s">
        <v>241</v>
      </c>
      <c r="C31" s="14" t="n">
        <v>0.0175</v>
      </c>
      <c r="D31" s="13" t="n">
        <v>43</v>
      </c>
      <c r="E31" s="7" t="s">
        <v>434</v>
      </c>
      <c r="F31" s="34" t="n">
        <f aca="false">INDEX(Phenotype_Mix!$D:$D,MATCH(A31,Phenotype_Mix!$A:$A,0))</f>
        <v>0.103295972644377</v>
      </c>
      <c r="G31" s="35" t="n">
        <f aca="false">C31*F31</f>
        <v>0.0018076795212766</v>
      </c>
    </row>
    <row r="32" customFormat="false" ht="15" hidden="false" customHeight="false" outlineLevel="0" collapsed="false">
      <c r="A32" s="7" t="s">
        <v>403</v>
      </c>
      <c r="B32" s="7" t="s">
        <v>95</v>
      </c>
      <c r="C32" s="14" t="n">
        <v>0.1956</v>
      </c>
      <c r="D32" s="13" t="n">
        <v>46</v>
      </c>
      <c r="E32" s="7" t="s">
        <v>435</v>
      </c>
      <c r="F32" s="34" t="n">
        <f aca="false">INDEX(Phenotype_Mix!$D:$D,MATCH(A32,Phenotype_Mix!$A:$A,0))</f>
        <v>0.0454502279635258</v>
      </c>
      <c r="G32" s="35" t="n">
        <f aca="false">C32*F32</f>
        <v>0.00889006458966565</v>
      </c>
    </row>
    <row r="33" customFormat="false" ht="15" hidden="false" customHeight="false" outlineLevel="0" collapsed="false">
      <c r="A33" s="7" t="s">
        <v>403</v>
      </c>
      <c r="B33" s="7" t="s">
        <v>183</v>
      </c>
      <c r="C33" s="14" t="n">
        <v>0.1304</v>
      </c>
      <c r="D33" s="13" t="n">
        <v>46</v>
      </c>
      <c r="E33" s="7" t="s">
        <v>436</v>
      </c>
      <c r="F33" s="34" t="n">
        <f aca="false">INDEX(Phenotype_Mix!$D:$D,MATCH(A33,Phenotype_Mix!$A:$A,0))</f>
        <v>0.0454502279635258</v>
      </c>
      <c r="G33" s="35" t="n">
        <f aca="false">C33*F33</f>
        <v>0.00592670972644377</v>
      </c>
    </row>
    <row r="34" customFormat="false" ht="15" hidden="false" customHeight="false" outlineLevel="0" collapsed="false">
      <c r="A34" s="7" t="s">
        <v>403</v>
      </c>
      <c r="B34" s="7" t="s">
        <v>151</v>
      </c>
      <c r="C34" s="14" t="n">
        <v>0.0869</v>
      </c>
      <c r="D34" s="13" t="n">
        <v>46</v>
      </c>
      <c r="E34" s="7" t="s">
        <v>437</v>
      </c>
      <c r="F34" s="34" t="n">
        <f aca="false">INDEX(Phenotype_Mix!$D:$D,MATCH(A34,Phenotype_Mix!$A:$A,0))</f>
        <v>0.0454502279635258</v>
      </c>
      <c r="G34" s="35" t="n">
        <f aca="false">C34*F34</f>
        <v>0.0039496248100304</v>
      </c>
    </row>
    <row r="35" customFormat="false" ht="15" hidden="false" customHeight="false" outlineLevel="0" collapsed="false">
      <c r="A35" s="7" t="s">
        <v>112</v>
      </c>
      <c r="B35" s="7" t="s">
        <v>165</v>
      </c>
      <c r="C35" s="14" t="n">
        <v>0.2711</v>
      </c>
      <c r="D35" s="13" t="n">
        <v>138</v>
      </c>
      <c r="E35" s="7" t="s">
        <v>438</v>
      </c>
      <c r="F35" s="34" t="n">
        <f aca="false">INDEX(Phenotype_Mix!$D:$D,MATCH(A35,Phenotype_Mix!$A:$A,0))</f>
        <v>0.00655395136778116</v>
      </c>
      <c r="G35" s="35" t="n">
        <f aca="false">C35*F35</f>
        <v>0.00177677621580547</v>
      </c>
    </row>
    <row r="36" customFormat="false" ht="15" hidden="false" customHeight="false" outlineLevel="0" collapsed="false">
      <c r="A36" s="7" t="s">
        <v>112</v>
      </c>
      <c r="B36" s="7" t="s">
        <v>188</v>
      </c>
      <c r="C36" s="14" t="n">
        <v>0.1525</v>
      </c>
      <c r="D36" s="13" t="n">
        <v>138</v>
      </c>
      <c r="E36" s="7" t="s">
        <v>439</v>
      </c>
      <c r="F36" s="34" t="n">
        <f aca="false">INDEX(Phenotype_Mix!$D:$D,MATCH(A36,Phenotype_Mix!$A:$A,0))</f>
        <v>0.00655395136778116</v>
      </c>
      <c r="G36" s="35" t="n">
        <f aca="false">C36*F36</f>
        <v>0.000999477583586626</v>
      </c>
    </row>
    <row r="37" customFormat="false" ht="15" hidden="false" customHeight="false" outlineLevel="0" collapsed="false">
      <c r="A37" s="7" t="s">
        <v>112</v>
      </c>
      <c r="B37" s="7" t="s">
        <v>358</v>
      </c>
      <c r="C37" s="14" t="n">
        <v>0.0847</v>
      </c>
      <c r="D37" s="13" t="n">
        <v>138</v>
      </c>
      <c r="E37" s="7" t="s">
        <v>440</v>
      </c>
      <c r="F37" s="34" t="n">
        <f aca="false">INDEX(Phenotype_Mix!$D:$D,MATCH(A37,Phenotype_Mix!$A:$A,0))</f>
        <v>0.00655395136778116</v>
      </c>
      <c r="G37" s="35" t="n">
        <f aca="false">C37*F37</f>
        <v>0.000555119680851064</v>
      </c>
    </row>
    <row r="38" customFormat="false" ht="15" hidden="false" customHeight="false" outlineLevel="0" collapsed="false">
      <c r="A38" s="7" t="s">
        <v>112</v>
      </c>
      <c r="B38" s="7" t="s">
        <v>111</v>
      </c>
      <c r="C38" s="14" t="n">
        <v>0.0677</v>
      </c>
      <c r="D38" s="13" t="n">
        <v>138</v>
      </c>
      <c r="E38" s="7" t="s">
        <v>441</v>
      </c>
      <c r="F38" s="34" t="n">
        <f aca="false">INDEX(Phenotype_Mix!$D:$D,MATCH(A38,Phenotype_Mix!$A:$A,0))</f>
        <v>0.00655395136778116</v>
      </c>
      <c r="G38" s="35" t="n">
        <f aca="false">C38*F38</f>
        <v>0.000443702507598784</v>
      </c>
    </row>
    <row r="39" customFormat="false" ht="15" hidden="false" customHeight="false" outlineLevel="0" collapsed="false">
      <c r="A39" s="7" t="s">
        <v>112</v>
      </c>
      <c r="B39" s="7" t="s">
        <v>153</v>
      </c>
      <c r="C39" s="14" t="n">
        <v>0.0677</v>
      </c>
      <c r="D39" s="13" t="n">
        <v>138</v>
      </c>
      <c r="E39" s="7" t="s">
        <v>441</v>
      </c>
      <c r="F39" s="34" t="n">
        <f aca="false">INDEX(Phenotype_Mix!$D:$D,MATCH(A39,Phenotype_Mix!$A:$A,0))</f>
        <v>0.00655395136778116</v>
      </c>
      <c r="G39" s="35" t="n">
        <f aca="false">C39*F39</f>
        <v>0.000443702507598784</v>
      </c>
    </row>
    <row r="40" customFormat="false" ht="15" hidden="false" customHeight="false" outlineLevel="0" collapsed="false">
      <c r="A40" s="7" t="s">
        <v>112</v>
      </c>
      <c r="B40" s="7" t="s">
        <v>273</v>
      </c>
      <c r="C40" s="14" t="n">
        <v>0.0169</v>
      </c>
      <c r="D40" s="13" t="n">
        <v>138</v>
      </c>
      <c r="E40" s="7" t="s">
        <v>442</v>
      </c>
      <c r="F40" s="34" t="n">
        <f aca="false">INDEX(Phenotype_Mix!$D:$D,MATCH(A40,Phenotype_Mix!$A:$A,0))</f>
        <v>0.00655395136778116</v>
      </c>
      <c r="G40" s="35" t="n">
        <f aca="false">C40*F40</f>
        <v>0.000110761778115502</v>
      </c>
    </row>
    <row r="41" customFormat="false" ht="15" hidden="false" customHeight="false" outlineLevel="0" collapsed="false">
      <c r="A41" s="7" t="s">
        <v>129</v>
      </c>
      <c r="B41" s="7" t="s">
        <v>136</v>
      </c>
      <c r="C41" s="14" t="n">
        <v>0.2142</v>
      </c>
      <c r="D41" s="13" t="n">
        <v>210</v>
      </c>
      <c r="E41" s="7" t="s">
        <v>443</v>
      </c>
      <c r="F41" s="34" t="n">
        <f aca="false">INDEX(Phenotype_Mix!$D:$D,MATCH(A41,Phenotype_Mix!$A:$A,0))</f>
        <v>0.0234612462006079</v>
      </c>
      <c r="G41" s="35" t="n">
        <f aca="false">C41*F41</f>
        <v>0.00502539893617021</v>
      </c>
    </row>
    <row r="42" customFormat="false" ht="15" hidden="false" customHeight="false" outlineLevel="0" collapsed="false">
      <c r="A42" s="7" t="s">
        <v>129</v>
      </c>
      <c r="B42" s="7" t="s">
        <v>263</v>
      </c>
      <c r="C42" s="14" t="n">
        <v>0.1666</v>
      </c>
      <c r="D42" s="13" t="n">
        <v>210</v>
      </c>
      <c r="E42" s="7" t="s">
        <v>444</v>
      </c>
      <c r="F42" s="34" t="n">
        <f aca="false">INDEX(Phenotype_Mix!$D:$D,MATCH(A42,Phenotype_Mix!$A:$A,0))</f>
        <v>0.0234612462006079</v>
      </c>
      <c r="G42" s="35" t="n">
        <f aca="false">C42*F42</f>
        <v>0.00390864361702128</v>
      </c>
    </row>
    <row r="43" customFormat="false" ht="15" hidden="false" customHeight="false" outlineLevel="0" collapsed="false">
      <c r="A43" s="7" t="s">
        <v>129</v>
      </c>
      <c r="B43" s="7" t="s">
        <v>131</v>
      </c>
      <c r="C43" s="14" t="n">
        <v>0.0952</v>
      </c>
      <c r="D43" s="13" t="n">
        <v>210</v>
      </c>
      <c r="E43" s="7" t="s">
        <v>445</v>
      </c>
      <c r="F43" s="34" t="n">
        <f aca="false">INDEX(Phenotype_Mix!$D:$D,MATCH(A43,Phenotype_Mix!$A:$A,0))</f>
        <v>0.0234612462006079</v>
      </c>
      <c r="G43" s="35" t="n">
        <f aca="false">C43*F43</f>
        <v>0.00223351063829787</v>
      </c>
    </row>
    <row r="44" customFormat="false" ht="15" hidden="false" customHeight="false" outlineLevel="0" collapsed="false">
      <c r="A44" s="7" t="s">
        <v>129</v>
      </c>
      <c r="B44" s="7" t="s">
        <v>122</v>
      </c>
      <c r="C44" s="14" t="n">
        <v>0.0952</v>
      </c>
      <c r="D44" s="13" t="n">
        <v>210</v>
      </c>
      <c r="E44" s="7" t="s">
        <v>446</v>
      </c>
      <c r="F44" s="34" t="n">
        <f aca="false">INDEX(Phenotype_Mix!$D:$D,MATCH(A44,Phenotype_Mix!$A:$A,0))</f>
        <v>0.0234612462006079</v>
      </c>
      <c r="G44" s="35" t="n">
        <f aca="false">C44*F44</f>
        <v>0.00223351063829787</v>
      </c>
    </row>
    <row r="45" customFormat="false" ht="15" hidden="false" customHeight="false" outlineLevel="0" collapsed="false">
      <c r="A45" s="7" t="s">
        <v>405</v>
      </c>
      <c r="B45" s="7" t="s">
        <v>267</v>
      </c>
      <c r="C45" s="14" t="n">
        <v>0.6</v>
      </c>
      <c r="D45" s="13" t="n">
        <v>5</v>
      </c>
      <c r="E45" s="7" t="s">
        <v>447</v>
      </c>
      <c r="F45" s="34" t="n">
        <f aca="false">INDEX(Phenotype_Mix!$D:$D,MATCH(A45,Phenotype_Mix!$A:$A,0))</f>
        <v>0.0399411094224924</v>
      </c>
      <c r="G45" s="35" t="n">
        <f aca="false">C45*F45</f>
        <v>0.0239646656534954</v>
      </c>
    </row>
    <row r="46" customFormat="false" ht="15" hidden="false" customHeight="false" outlineLevel="0" collapsed="false">
      <c r="A46" s="7" t="s">
        <v>360</v>
      </c>
      <c r="B46" s="7" t="s">
        <v>359</v>
      </c>
      <c r="C46" s="14" t="n">
        <v>1</v>
      </c>
      <c r="D46" s="13" t="n">
        <v>110</v>
      </c>
      <c r="E46" s="7" t="s">
        <v>448</v>
      </c>
      <c r="F46" s="34" t="n">
        <f aca="false">INDEX(Phenotype_Mix!$D:$D,MATCH(A46,Phenotype_Mix!$A:$A,0))</f>
        <v>0.0052241641337386</v>
      </c>
      <c r="G46" s="35" t="n">
        <f aca="false">C46*F46</f>
        <v>0.0052241641337386</v>
      </c>
    </row>
    <row r="47" customFormat="false" ht="15" hidden="false" customHeight="false" outlineLevel="0" collapsed="false">
      <c r="A47" s="7" t="s">
        <v>411</v>
      </c>
      <c r="B47" s="7" t="s">
        <v>116</v>
      </c>
      <c r="C47" s="14" t="n">
        <v>1</v>
      </c>
      <c r="D47" s="13" t="n">
        <v>9</v>
      </c>
      <c r="E47" s="7" t="s">
        <v>448</v>
      </c>
      <c r="F47" s="34" t="n">
        <f aca="false">INDEX(Phenotype_Mix!$D:$D,MATCH(A47,Phenotype_Mix!$A:$A,0))</f>
        <v>0.000427431610942249</v>
      </c>
      <c r="G47" s="35" t="n">
        <f aca="false">C47*F47</f>
        <v>0.000427431610942249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4" t="s">
        <v>449</v>
      </c>
    </row>
    <row r="2" customFormat="false" ht="15" hidden="false" customHeight="false" outlineLevel="0" collapsed="false">
      <c r="A2" s="7" t="s">
        <v>450</v>
      </c>
    </row>
    <row r="3" customFormat="false" ht="15" hidden="false" customHeight="false" outlineLevel="0" collapsed="false">
      <c r="A3" s="31" t="s">
        <v>451</v>
      </c>
      <c r="B3" s="31" t="n">
        <f aca="false">SUM(B6:B207)</f>
        <v>0</v>
      </c>
    </row>
    <row r="5" customFormat="false" ht="15" hidden="false" customHeight="false" outlineLevel="0" collapsed="false">
      <c r="A5" s="18" t="s">
        <v>67</v>
      </c>
      <c r="B5" s="18" t="s">
        <v>452</v>
      </c>
      <c r="C5" s="18" t="s">
        <v>453</v>
      </c>
    </row>
    <row r="6" customFormat="false" ht="15" hidden="false" customHeight="false" outlineLevel="0" collapsed="false">
      <c r="A6" s="7" t="s">
        <v>95</v>
      </c>
      <c r="B6" s="16"/>
      <c r="C6" s="30" t="n">
        <f aca="false">IF($B$3&gt;0,B6/$B$3,0)</f>
        <v>0</v>
      </c>
    </row>
    <row r="7" customFormat="false" ht="15" hidden="false" customHeight="false" outlineLevel="0" collapsed="false">
      <c r="A7" s="7" t="s">
        <v>100</v>
      </c>
      <c r="B7" s="16"/>
      <c r="C7" s="30" t="n">
        <f aca="false">IF($B$3&gt;0,B7/$B$3,0)</f>
        <v>0</v>
      </c>
    </row>
    <row r="8" customFormat="false" ht="15" hidden="false" customHeight="false" outlineLevel="0" collapsed="false">
      <c r="A8" s="7" t="s">
        <v>102</v>
      </c>
      <c r="B8" s="16"/>
      <c r="C8" s="30" t="n">
        <f aca="false">IF($B$3&gt;0,B8/$B$3,0)</f>
        <v>0</v>
      </c>
    </row>
    <row r="9" customFormat="false" ht="15" hidden="false" customHeight="false" outlineLevel="0" collapsed="false">
      <c r="A9" s="7" t="s">
        <v>104</v>
      </c>
      <c r="B9" s="16"/>
      <c r="C9" s="30" t="n">
        <f aca="false">IF($B$3&gt;0,B9/$B$3,0)</f>
        <v>0</v>
      </c>
    </row>
    <row r="10" customFormat="false" ht="15" hidden="false" customHeight="false" outlineLevel="0" collapsed="false">
      <c r="A10" s="7" t="s">
        <v>106</v>
      </c>
      <c r="B10" s="16"/>
      <c r="C10" s="30" t="n">
        <f aca="false">IF($B$3&gt;0,B10/$B$3,0)</f>
        <v>0</v>
      </c>
    </row>
    <row r="11" customFormat="false" ht="15" hidden="false" customHeight="false" outlineLevel="0" collapsed="false">
      <c r="A11" s="7" t="s">
        <v>108</v>
      </c>
      <c r="B11" s="16"/>
      <c r="C11" s="30" t="n">
        <f aca="false">IF($B$3&gt;0,B11/$B$3,0)</f>
        <v>0</v>
      </c>
    </row>
    <row r="12" customFormat="false" ht="15" hidden="false" customHeight="false" outlineLevel="0" collapsed="false">
      <c r="A12" s="7" t="s">
        <v>110</v>
      </c>
      <c r="B12" s="16"/>
      <c r="C12" s="30" t="n">
        <f aca="false">IF($B$3&gt;0,B12/$B$3,0)</f>
        <v>0</v>
      </c>
    </row>
    <row r="13" customFormat="false" ht="15" hidden="false" customHeight="false" outlineLevel="0" collapsed="false">
      <c r="A13" s="7" t="s">
        <v>111</v>
      </c>
      <c r="B13" s="16"/>
      <c r="C13" s="30" t="n">
        <f aca="false">IF($B$3&gt;0,B13/$B$3,0)</f>
        <v>0</v>
      </c>
    </row>
    <row r="14" customFormat="false" ht="15" hidden="false" customHeight="false" outlineLevel="0" collapsed="false">
      <c r="A14" s="7" t="s">
        <v>113</v>
      </c>
      <c r="B14" s="16"/>
      <c r="C14" s="30" t="n">
        <f aca="false">IF($B$3&gt;0,B14/$B$3,0)</f>
        <v>0</v>
      </c>
    </row>
    <row r="15" customFormat="false" ht="15" hidden="false" customHeight="false" outlineLevel="0" collapsed="false">
      <c r="A15" s="7" t="s">
        <v>114</v>
      </c>
      <c r="B15" s="16"/>
      <c r="C15" s="30" t="n">
        <f aca="false">IF($B$3&gt;0,B15/$B$3,0)</f>
        <v>0</v>
      </c>
    </row>
    <row r="16" customFormat="false" ht="15" hidden="false" customHeight="false" outlineLevel="0" collapsed="false">
      <c r="A16" s="7" t="s">
        <v>116</v>
      </c>
      <c r="B16" s="16"/>
      <c r="C16" s="30" t="n">
        <f aca="false">IF($B$3&gt;0,B16/$B$3,0)</f>
        <v>0</v>
      </c>
    </row>
    <row r="17" customFormat="false" ht="15" hidden="false" customHeight="false" outlineLevel="0" collapsed="false">
      <c r="A17" s="7" t="s">
        <v>118</v>
      </c>
      <c r="B17" s="16"/>
      <c r="C17" s="30" t="n">
        <f aca="false">IF($B$3&gt;0,B17/$B$3,0)</f>
        <v>0</v>
      </c>
    </row>
    <row r="18" customFormat="false" ht="15" hidden="false" customHeight="false" outlineLevel="0" collapsed="false">
      <c r="A18" s="7" t="s">
        <v>119</v>
      </c>
      <c r="B18" s="16"/>
      <c r="C18" s="30" t="n">
        <f aca="false">IF($B$3&gt;0,B18/$B$3,0)</f>
        <v>0</v>
      </c>
    </row>
    <row r="19" customFormat="false" ht="15" hidden="false" customHeight="false" outlineLevel="0" collapsed="false">
      <c r="A19" s="7" t="s">
        <v>120</v>
      </c>
      <c r="B19" s="16"/>
      <c r="C19" s="30" t="n">
        <f aca="false">IF($B$3&gt;0,B19/$B$3,0)</f>
        <v>0</v>
      </c>
    </row>
    <row r="20" customFormat="false" ht="15" hidden="false" customHeight="false" outlineLevel="0" collapsed="false">
      <c r="A20" s="7" t="s">
        <v>121</v>
      </c>
      <c r="B20" s="16"/>
      <c r="C20" s="30" t="n">
        <f aca="false">IF($B$3&gt;0,B20/$B$3,0)</f>
        <v>0</v>
      </c>
    </row>
    <row r="21" customFormat="false" ht="15" hidden="false" customHeight="false" outlineLevel="0" collapsed="false">
      <c r="A21" s="7" t="s">
        <v>122</v>
      </c>
      <c r="B21" s="16"/>
      <c r="C21" s="30" t="n">
        <f aca="false">IF($B$3&gt;0,B21/$B$3,0)</f>
        <v>0</v>
      </c>
    </row>
    <row r="22" customFormat="false" ht="15" hidden="false" customHeight="false" outlineLevel="0" collapsed="false">
      <c r="A22" s="7" t="s">
        <v>124</v>
      </c>
      <c r="B22" s="16"/>
      <c r="C22" s="30" t="n">
        <f aca="false">IF($B$3&gt;0,B22/$B$3,0)</f>
        <v>0</v>
      </c>
    </row>
    <row r="23" customFormat="false" ht="15" hidden="false" customHeight="false" outlineLevel="0" collapsed="false">
      <c r="A23" s="7" t="s">
        <v>126</v>
      </c>
      <c r="B23" s="16"/>
      <c r="C23" s="30" t="n">
        <f aca="false">IF($B$3&gt;0,B23/$B$3,0)</f>
        <v>0</v>
      </c>
    </row>
    <row r="24" customFormat="false" ht="15" hidden="false" customHeight="false" outlineLevel="0" collapsed="false">
      <c r="A24" s="7" t="s">
        <v>128</v>
      </c>
      <c r="B24" s="16"/>
      <c r="C24" s="30" t="n">
        <f aca="false">IF($B$3&gt;0,B24/$B$3,0)</f>
        <v>0</v>
      </c>
    </row>
    <row r="25" customFormat="false" ht="15" hidden="false" customHeight="false" outlineLevel="0" collapsed="false">
      <c r="A25" s="7" t="s">
        <v>130</v>
      </c>
      <c r="B25" s="16"/>
      <c r="C25" s="30" t="n">
        <f aca="false">IF($B$3&gt;0,B25/$B$3,0)</f>
        <v>0</v>
      </c>
    </row>
    <row r="26" customFormat="false" ht="15" hidden="false" customHeight="false" outlineLevel="0" collapsed="false">
      <c r="A26" s="7" t="s">
        <v>136</v>
      </c>
      <c r="B26" s="16"/>
      <c r="C26" s="30" t="n">
        <f aca="false">IF($B$3&gt;0,B26/$B$3,0)</f>
        <v>0</v>
      </c>
    </row>
    <row r="27" customFormat="false" ht="15" hidden="false" customHeight="false" outlineLevel="0" collapsed="false">
      <c r="A27" s="7" t="s">
        <v>137</v>
      </c>
      <c r="B27" s="16"/>
      <c r="C27" s="30" t="n">
        <f aca="false">IF($B$3&gt;0,B27/$B$3,0)</f>
        <v>0</v>
      </c>
    </row>
    <row r="28" customFormat="false" ht="15" hidden="false" customHeight="false" outlineLevel="0" collapsed="false">
      <c r="A28" s="7" t="s">
        <v>131</v>
      </c>
      <c r="B28" s="16"/>
      <c r="C28" s="30" t="n">
        <f aca="false">IF($B$3&gt;0,B28/$B$3,0)</f>
        <v>0</v>
      </c>
    </row>
    <row r="29" customFormat="false" ht="15" hidden="false" customHeight="false" outlineLevel="0" collapsed="false">
      <c r="A29" s="7" t="s">
        <v>132</v>
      </c>
      <c r="B29" s="16"/>
      <c r="C29" s="30" t="n">
        <f aca="false">IF($B$3&gt;0,B29/$B$3,0)</f>
        <v>0</v>
      </c>
    </row>
    <row r="30" customFormat="false" ht="15" hidden="false" customHeight="false" outlineLevel="0" collapsed="false">
      <c r="A30" s="7" t="s">
        <v>133</v>
      </c>
      <c r="B30" s="16"/>
      <c r="C30" s="30" t="n">
        <f aca="false">IF($B$3&gt;0,B30/$B$3,0)</f>
        <v>0</v>
      </c>
    </row>
    <row r="31" customFormat="false" ht="15" hidden="false" customHeight="false" outlineLevel="0" collapsed="false">
      <c r="A31" s="7" t="s">
        <v>134</v>
      </c>
      <c r="B31" s="16"/>
      <c r="C31" s="30" t="n">
        <f aca="false">IF($B$3&gt;0,B31/$B$3,0)</f>
        <v>0</v>
      </c>
    </row>
    <row r="32" customFormat="false" ht="15" hidden="false" customHeight="false" outlineLevel="0" collapsed="false">
      <c r="A32" s="7" t="s">
        <v>135</v>
      </c>
      <c r="B32" s="16"/>
      <c r="C32" s="30" t="n">
        <f aca="false">IF($B$3&gt;0,B32/$B$3,0)</f>
        <v>0</v>
      </c>
    </row>
    <row r="33" customFormat="false" ht="15" hidden="false" customHeight="false" outlineLevel="0" collapsed="false">
      <c r="A33" s="7" t="s">
        <v>138</v>
      </c>
      <c r="B33" s="16"/>
      <c r="C33" s="30" t="n">
        <f aca="false">IF($B$3&gt;0,B33/$B$3,0)</f>
        <v>0</v>
      </c>
    </row>
    <row r="34" customFormat="false" ht="15" hidden="false" customHeight="false" outlineLevel="0" collapsed="false">
      <c r="A34" s="7" t="s">
        <v>141</v>
      </c>
      <c r="B34" s="16"/>
      <c r="C34" s="30" t="n">
        <f aca="false">IF($B$3&gt;0,B34/$B$3,0)</f>
        <v>0</v>
      </c>
    </row>
    <row r="35" customFormat="false" ht="15" hidden="false" customHeight="false" outlineLevel="0" collapsed="false">
      <c r="A35" s="7" t="s">
        <v>143</v>
      </c>
      <c r="B35" s="16"/>
      <c r="C35" s="30" t="n">
        <f aca="false">IF($B$3&gt;0,B35/$B$3,0)</f>
        <v>0</v>
      </c>
    </row>
    <row r="36" customFormat="false" ht="15" hidden="false" customHeight="false" outlineLevel="0" collapsed="false">
      <c r="A36" s="7" t="s">
        <v>145</v>
      </c>
      <c r="B36" s="16"/>
      <c r="C36" s="30" t="n">
        <f aca="false">IF($B$3&gt;0,B36/$B$3,0)</f>
        <v>0</v>
      </c>
    </row>
    <row r="37" customFormat="false" ht="15" hidden="false" customHeight="false" outlineLevel="0" collapsed="false">
      <c r="A37" s="7" t="s">
        <v>146</v>
      </c>
      <c r="B37" s="16"/>
      <c r="C37" s="30" t="n">
        <f aca="false">IF($B$3&gt;0,B37/$B$3,0)</f>
        <v>0</v>
      </c>
    </row>
    <row r="38" customFormat="false" ht="15" hidden="false" customHeight="false" outlineLevel="0" collapsed="false">
      <c r="A38" s="7" t="s">
        <v>148</v>
      </c>
      <c r="B38" s="16"/>
      <c r="C38" s="30" t="n">
        <f aca="false">IF($B$3&gt;0,B38/$B$3,0)</f>
        <v>0</v>
      </c>
    </row>
    <row r="39" customFormat="false" ht="15" hidden="false" customHeight="false" outlineLevel="0" collapsed="false">
      <c r="A39" s="7" t="s">
        <v>151</v>
      </c>
      <c r="B39" s="16"/>
      <c r="C39" s="30" t="n">
        <f aca="false">IF($B$3&gt;0,B39/$B$3,0)</f>
        <v>0</v>
      </c>
    </row>
    <row r="40" customFormat="false" ht="15" hidden="false" customHeight="false" outlineLevel="0" collapsed="false">
      <c r="A40" s="7" t="s">
        <v>153</v>
      </c>
      <c r="B40" s="16"/>
      <c r="C40" s="30" t="n">
        <f aca="false">IF($B$3&gt;0,B40/$B$3,0)</f>
        <v>0</v>
      </c>
    </row>
    <row r="41" customFormat="false" ht="15" hidden="false" customHeight="false" outlineLevel="0" collapsed="false">
      <c r="A41" s="7" t="s">
        <v>155</v>
      </c>
      <c r="B41" s="16"/>
      <c r="C41" s="30" t="n">
        <f aca="false">IF($B$3&gt;0,B41/$B$3,0)</f>
        <v>0</v>
      </c>
    </row>
    <row r="42" customFormat="false" ht="15" hidden="false" customHeight="false" outlineLevel="0" collapsed="false">
      <c r="A42" s="7" t="s">
        <v>158</v>
      </c>
      <c r="B42" s="16"/>
      <c r="C42" s="30" t="n">
        <f aca="false">IF($B$3&gt;0,B42/$B$3,0)</f>
        <v>0</v>
      </c>
    </row>
    <row r="43" customFormat="false" ht="15" hidden="false" customHeight="false" outlineLevel="0" collapsed="false">
      <c r="A43" s="7" t="s">
        <v>160</v>
      </c>
      <c r="B43" s="16"/>
      <c r="C43" s="30" t="n">
        <f aca="false">IF($B$3&gt;0,B43/$B$3,0)</f>
        <v>0</v>
      </c>
    </row>
    <row r="44" customFormat="false" ht="15" hidden="false" customHeight="false" outlineLevel="0" collapsed="false">
      <c r="A44" s="7" t="s">
        <v>161</v>
      </c>
      <c r="B44" s="16"/>
      <c r="C44" s="30" t="n">
        <f aca="false">IF($B$3&gt;0,B44/$B$3,0)</f>
        <v>0</v>
      </c>
    </row>
    <row r="45" customFormat="false" ht="15" hidden="false" customHeight="false" outlineLevel="0" collapsed="false">
      <c r="A45" s="7" t="s">
        <v>163</v>
      </c>
      <c r="B45" s="16"/>
      <c r="C45" s="30" t="n">
        <f aca="false">IF($B$3&gt;0,B45/$B$3,0)</f>
        <v>0</v>
      </c>
    </row>
    <row r="46" customFormat="false" ht="15" hidden="false" customHeight="false" outlineLevel="0" collapsed="false">
      <c r="A46" s="7" t="s">
        <v>165</v>
      </c>
      <c r="B46" s="16"/>
      <c r="C46" s="30" t="n">
        <f aca="false">IF($B$3&gt;0,B46/$B$3,0)</f>
        <v>0</v>
      </c>
    </row>
    <row r="47" customFormat="false" ht="15" hidden="false" customHeight="false" outlineLevel="0" collapsed="false">
      <c r="A47" s="7" t="s">
        <v>167</v>
      </c>
      <c r="B47" s="16"/>
      <c r="C47" s="30" t="n">
        <f aca="false">IF($B$3&gt;0,B47/$B$3,0)</f>
        <v>0</v>
      </c>
    </row>
    <row r="48" customFormat="false" ht="15" hidden="false" customHeight="false" outlineLevel="0" collapsed="false">
      <c r="A48" s="7" t="s">
        <v>169</v>
      </c>
      <c r="B48" s="16"/>
      <c r="C48" s="30" t="n">
        <f aca="false">IF($B$3&gt;0,B48/$B$3,0)</f>
        <v>0</v>
      </c>
    </row>
    <row r="49" customFormat="false" ht="15" hidden="false" customHeight="false" outlineLevel="0" collapsed="false">
      <c r="A49" s="7" t="s">
        <v>172</v>
      </c>
      <c r="B49" s="16"/>
      <c r="C49" s="30" t="n">
        <f aca="false">IF($B$3&gt;0,B49/$B$3,0)</f>
        <v>0</v>
      </c>
    </row>
    <row r="50" customFormat="false" ht="15" hidden="false" customHeight="false" outlineLevel="0" collapsed="false">
      <c r="A50" s="7" t="s">
        <v>173</v>
      </c>
      <c r="B50" s="16"/>
      <c r="C50" s="30" t="n">
        <f aca="false">IF($B$3&gt;0,B50/$B$3,0)</f>
        <v>0</v>
      </c>
    </row>
    <row r="51" customFormat="false" ht="15" hidden="false" customHeight="false" outlineLevel="0" collapsed="false">
      <c r="A51" s="7" t="s">
        <v>175</v>
      </c>
      <c r="B51" s="16"/>
      <c r="C51" s="30" t="n">
        <f aca="false">IF($B$3&gt;0,B51/$B$3,0)</f>
        <v>0</v>
      </c>
    </row>
    <row r="52" customFormat="false" ht="15" hidden="false" customHeight="false" outlineLevel="0" collapsed="false">
      <c r="A52" s="7" t="s">
        <v>176</v>
      </c>
      <c r="B52" s="16"/>
      <c r="C52" s="30" t="n">
        <f aca="false">IF($B$3&gt;0,B52/$B$3,0)</f>
        <v>0</v>
      </c>
    </row>
    <row r="53" customFormat="false" ht="15" hidden="false" customHeight="false" outlineLevel="0" collapsed="false">
      <c r="A53" s="7" t="s">
        <v>178</v>
      </c>
      <c r="B53" s="16"/>
      <c r="C53" s="30" t="n">
        <f aca="false">IF($B$3&gt;0,B53/$B$3,0)</f>
        <v>0</v>
      </c>
    </row>
    <row r="54" customFormat="false" ht="15" hidden="false" customHeight="false" outlineLevel="0" collapsed="false">
      <c r="A54" s="7" t="s">
        <v>180</v>
      </c>
      <c r="B54" s="16"/>
      <c r="C54" s="30" t="n">
        <f aca="false">IF($B$3&gt;0,B54/$B$3,0)</f>
        <v>0</v>
      </c>
    </row>
    <row r="55" customFormat="false" ht="15" hidden="false" customHeight="false" outlineLevel="0" collapsed="false">
      <c r="A55" s="7" t="s">
        <v>182</v>
      </c>
      <c r="B55" s="16"/>
      <c r="C55" s="30" t="n">
        <f aca="false">IF($B$3&gt;0,B55/$B$3,0)</f>
        <v>0</v>
      </c>
    </row>
    <row r="56" customFormat="false" ht="15" hidden="false" customHeight="false" outlineLevel="0" collapsed="false">
      <c r="A56" s="7" t="s">
        <v>183</v>
      </c>
      <c r="B56" s="16"/>
      <c r="C56" s="30" t="n">
        <f aca="false">IF($B$3&gt;0,B56/$B$3,0)</f>
        <v>0</v>
      </c>
    </row>
    <row r="57" customFormat="false" ht="15" hidden="false" customHeight="false" outlineLevel="0" collapsed="false">
      <c r="A57" s="7" t="s">
        <v>184</v>
      </c>
      <c r="B57" s="16"/>
      <c r="C57" s="30" t="n">
        <f aca="false">IF($B$3&gt;0,B57/$B$3,0)</f>
        <v>0</v>
      </c>
    </row>
    <row r="58" customFormat="false" ht="15" hidden="false" customHeight="false" outlineLevel="0" collapsed="false">
      <c r="A58" s="7" t="s">
        <v>185</v>
      </c>
      <c r="B58" s="16"/>
      <c r="C58" s="30" t="n">
        <f aca="false">IF($B$3&gt;0,B58/$B$3,0)</f>
        <v>0</v>
      </c>
    </row>
    <row r="59" customFormat="false" ht="15" hidden="false" customHeight="false" outlineLevel="0" collapsed="false">
      <c r="A59" s="7" t="s">
        <v>186</v>
      </c>
      <c r="B59" s="16"/>
      <c r="C59" s="30" t="n">
        <f aca="false">IF($B$3&gt;0,B59/$B$3,0)</f>
        <v>0</v>
      </c>
    </row>
    <row r="60" customFormat="false" ht="15" hidden="false" customHeight="false" outlineLevel="0" collapsed="false">
      <c r="A60" s="7" t="s">
        <v>188</v>
      </c>
      <c r="B60" s="16"/>
      <c r="C60" s="30" t="n">
        <f aca="false">IF($B$3&gt;0,B60/$B$3,0)</f>
        <v>0</v>
      </c>
    </row>
    <row r="61" customFormat="false" ht="15" hidden="false" customHeight="false" outlineLevel="0" collapsed="false">
      <c r="A61" s="7" t="s">
        <v>189</v>
      </c>
      <c r="B61" s="16"/>
      <c r="C61" s="30" t="n">
        <f aca="false">IF($B$3&gt;0,B61/$B$3,0)</f>
        <v>0</v>
      </c>
    </row>
    <row r="62" customFormat="false" ht="15" hidden="false" customHeight="false" outlineLevel="0" collapsed="false">
      <c r="A62" s="7" t="s">
        <v>192</v>
      </c>
      <c r="B62" s="16"/>
      <c r="C62" s="30" t="n">
        <f aca="false">IF($B$3&gt;0,B62/$B$3,0)</f>
        <v>0</v>
      </c>
    </row>
    <row r="63" customFormat="false" ht="15" hidden="false" customHeight="false" outlineLevel="0" collapsed="false">
      <c r="A63" s="7" t="s">
        <v>194</v>
      </c>
      <c r="B63" s="16"/>
      <c r="C63" s="30" t="n">
        <f aca="false">IF($B$3&gt;0,B63/$B$3,0)</f>
        <v>0</v>
      </c>
    </row>
    <row r="64" customFormat="false" ht="15" hidden="false" customHeight="false" outlineLevel="0" collapsed="false">
      <c r="A64" s="7" t="s">
        <v>195</v>
      </c>
      <c r="B64" s="16"/>
      <c r="C64" s="30" t="n">
        <f aca="false">IF($B$3&gt;0,B64/$B$3,0)</f>
        <v>0</v>
      </c>
    </row>
    <row r="65" customFormat="false" ht="15" hidden="false" customHeight="false" outlineLevel="0" collapsed="false">
      <c r="A65" s="7" t="s">
        <v>197</v>
      </c>
      <c r="B65" s="16"/>
      <c r="C65" s="30" t="n">
        <f aca="false">IF($B$3&gt;0,B65/$B$3,0)</f>
        <v>0</v>
      </c>
    </row>
    <row r="66" customFormat="false" ht="15" hidden="false" customHeight="false" outlineLevel="0" collapsed="false">
      <c r="A66" s="7" t="s">
        <v>198</v>
      </c>
      <c r="B66" s="16"/>
      <c r="C66" s="30" t="n">
        <f aca="false">IF($B$3&gt;0,B66/$B$3,0)</f>
        <v>0</v>
      </c>
    </row>
    <row r="67" customFormat="false" ht="15" hidden="false" customHeight="false" outlineLevel="0" collapsed="false">
      <c r="A67" s="7" t="s">
        <v>200</v>
      </c>
      <c r="B67" s="16"/>
      <c r="C67" s="30" t="n">
        <f aca="false">IF($B$3&gt;0,B67/$B$3,0)</f>
        <v>0</v>
      </c>
    </row>
    <row r="68" customFormat="false" ht="15" hidden="false" customHeight="false" outlineLevel="0" collapsed="false">
      <c r="A68" s="7" t="s">
        <v>201</v>
      </c>
      <c r="B68" s="16"/>
      <c r="C68" s="30" t="n">
        <f aca="false">IF($B$3&gt;0,B68/$B$3,0)</f>
        <v>0</v>
      </c>
    </row>
    <row r="69" customFormat="false" ht="15" hidden="false" customHeight="false" outlineLevel="0" collapsed="false">
      <c r="A69" s="7" t="s">
        <v>202</v>
      </c>
      <c r="B69" s="16"/>
      <c r="C69" s="30" t="n">
        <f aca="false">IF($B$3&gt;0,B69/$B$3,0)</f>
        <v>0</v>
      </c>
    </row>
    <row r="70" customFormat="false" ht="15" hidden="false" customHeight="false" outlineLevel="0" collapsed="false">
      <c r="A70" s="7" t="s">
        <v>203</v>
      </c>
      <c r="B70" s="16"/>
      <c r="C70" s="30" t="n">
        <f aca="false">IF($B$3&gt;0,B70/$B$3,0)</f>
        <v>0</v>
      </c>
    </row>
    <row r="71" customFormat="false" ht="15" hidden="false" customHeight="false" outlineLevel="0" collapsed="false">
      <c r="A71" s="7" t="s">
        <v>205</v>
      </c>
      <c r="B71" s="16"/>
      <c r="C71" s="30" t="n">
        <f aca="false">IF($B$3&gt;0,B71/$B$3,0)</f>
        <v>0</v>
      </c>
    </row>
    <row r="72" customFormat="false" ht="15" hidden="false" customHeight="false" outlineLevel="0" collapsed="false">
      <c r="A72" s="7" t="s">
        <v>207</v>
      </c>
      <c r="B72" s="16"/>
      <c r="C72" s="30" t="n">
        <f aca="false">IF($B$3&gt;0,B72/$B$3,0)</f>
        <v>0</v>
      </c>
    </row>
    <row r="73" customFormat="false" ht="15" hidden="false" customHeight="false" outlineLevel="0" collapsed="false">
      <c r="A73" s="7" t="s">
        <v>208</v>
      </c>
      <c r="B73" s="16"/>
      <c r="C73" s="30" t="n">
        <f aca="false">IF($B$3&gt;0,B73/$B$3,0)</f>
        <v>0</v>
      </c>
    </row>
    <row r="74" customFormat="false" ht="15" hidden="false" customHeight="false" outlineLevel="0" collapsed="false">
      <c r="A74" s="7" t="s">
        <v>209</v>
      </c>
      <c r="B74" s="16"/>
      <c r="C74" s="30" t="n">
        <f aca="false">IF($B$3&gt;0,B74/$B$3,0)</f>
        <v>0</v>
      </c>
    </row>
    <row r="75" customFormat="false" ht="15" hidden="false" customHeight="false" outlineLevel="0" collapsed="false">
      <c r="A75" s="7" t="s">
        <v>210</v>
      </c>
      <c r="B75" s="16"/>
      <c r="C75" s="30" t="n">
        <f aca="false">IF($B$3&gt;0,B75/$B$3,0)</f>
        <v>0</v>
      </c>
    </row>
    <row r="76" customFormat="false" ht="15" hidden="false" customHeight="false" outlineLevel="0" collapsed="false">
      <c r="A76" s="7" t="s">
        <v>212</v>
      </c>
      <c r="B76" s="16"/>
      <c r="C76" s="30" t="n">
        <f aca="false">IF($B$3&gt;0,B76/$B$3,0)</f>
        <v>0</v>
      </c>
    </row>
    <row r="77" customFormat="false" ht="15" hidden="false" customHeight="false" outlineLevel="0" collapsed="false">
      <c r="A77" s="7" t="s">
        <v>215</v>
      </c>
      <c r="B77" s="16"/>
      <c r="C77" s="30" t="n">
        <f aca="false">IF($B$3&gt;0,B77/$B$3,0)</f>
        <v>0</v>
      </c>
    </row>
    <row r="78" customFormat="false" ht="15" hidden="false" customHeight="false" outlineLevel="0" collapsed="false">
      <c r="A78" s="7" t="s">
        <v>216</v>
      </c>
      <c r="B78" s="16"/>
      <c r="C78" s="30" t="n">
        <f aca="false">IF($B$3&gt;0,B78/$B$3,0)</f>
        <v>0</v>
      </c>
    </row>
    <row r="79" customFormat="false" ht="15" hidden="false" customHeight="false" outlineLevel="0" collapsed="false">
      <c r="A79" s="7" t="s">
        <v>217</v>
      </c>
      <c r="B79" s="16"/>
      <c r="C79" s="30" t="n">
        <f aca="false">IF($B$3&gt;0,B79/$B$3,0)</f>
        <v>0</v>
      </c>
    </row>
    <row r="80" customFormat="false" ht="15" hidden="false" customHeight="false" outlineLevel="0" collapsed="false">
      <c r="A80" s="7" t="s">
        <v>219</v>
      </c>
      <c r="B80" s="16"/>
      <c r="C80" s="30" t="n">
        <f aca="false">IF($B$3&gt;0,B80/$B$3,0)</f>
        <v>0</v>
      </c>
    </row>
    <row r="81" customFormat="false" ht="15" hidden="false" customHeight="false" outlineLevel="0" collapsed="false">
      <c r="A81" s="7" t="s">
        <v>221</v>
      </c>
      <c r="B81" s="16"/>
      <c r="C81" s="30" t="n">
        <f aca="false">IF($B$3&gt;0,B81/$B$3,0)</f>
        <v>0</v>
      </c>
    </row>
    <row r="82" customFormat="false" ht="15" hidden="false" customHeight="false" outlineLevel="0" collapsed="false">
      <c r="A82" s="7" t="s">
        <v>222</v>
      </c>
      <c r="B82" s="16"/>
      <c r="C82" s="30" t="n">
        <f aca="false">IF($B$3&gt;0,B82/$B$3,0)</f>
        <v>0</v>
      </c>
    </row>
    <row r="83" customFormat="false" ht="15" hidden="false" customHeight="false" outlineLevel="0" collapsed="false">
      <c r="A83" s="7" t="s">
        <v>224</v>
      </c>
      <c r="B83" s="16"/>
      <c r="C83" s="30" t="n">
        <f aca="false">IF($B$3&gt;0,B83/$B$3,0)</f>
        <v>0</v>
      </c>
    </row>
    <row r="84" customFormat="false" ht="15" hidden="false" customHeight="false" outlineLevel="0" collapsed="false">
      <c r="A84" s="7" t="s">
        <v>226</v>
      </c>
      <c r="B84" s="16"/>
      <c r="C84" s="30" t="n">
        <f aca="false">IF($B$3&gt;0,B84/$B$3,0)</f>
        <v>0</v>
      </c>
    </row>
    <row r="85" customFormat="false" ht="15" hidden="false" customHeight="false" outlineLevel="0" collapsed="false">
      <c r="A85" s="7" t="s">
        <v>227</v>
      </c>
      <c r="B85" s="16"/>
      <c r="C85" s="30" t="n">
        <f aca="false">IF($B$3&gt;0,B85/$B$3,0)</f>
        <v>0</v>
      </c>
    </row>
    <row r="86" customFormat="false" ht="15" hidden="false" customHeight="false" outlineLevel="0" collapsed="false">
      <c r="A86" s="7" t="s">
        <v>228</v>
      </c>
      <c r="B86" s="16"/>
      <c r="C86" s="30" t="n">
        <f aca="false">IF($B$3&gt;0,B86/$B$3,0)</f>
        <v>0</v>
      </c>
    </row>
    <row r="87" customFormat="false" ht="15" hidden="false" customHeight="false" outlineLevel="0" collapsed="false">
      <c r="A87" s="7" t="s">
        <v>229</v>
      </c>
      <c r="B87" s="16"/>
      <c r="C87" s="30" t="n">
        <f aca="false">IF($B$3&gt;0,B87/$B$3,0)</f>
        <v>0</v>
      </c>
    </row>
    <row r="88" customFormat="false" ht="15" hidden="false" customHeight="false" outlineLevel="0" collapsed="false">
      <c r="A88" s="7" t="s">
        <v>230</v>
      </c>
      <c r="B88" s="16"/>
      <c r="C88" s="30" t="n">
        <f aca="false">IF($B$3&gt;0,B88/$B$3,0)</f>
        <v>0</v>
      </c>
    </row>
    <row r="89" customFormat="false" ht="15" hidden="false" customHeight="false" outlineLevel="0" collapsed="false">
      <c r="A89" s="7" t="s">
        <v>231</v>
      </c>
      <c r="B89" s="16"/>
      <c r="C89" s="30" t="n">
        <f aca="false">IF($B$3&gt;0,B89/$B$3,0)</f>
        <v>0</v>
      </c>
    </row>
    <row r="90" customFormat="false" ht="15" hidden="false" customHeight="false" outlineLevel="0" collapsed="false">
      <c r="A90" s="7" t="s">
        <v>233</v>
      </c>
      <c r="B90" s="16"/>
      <c r="C90" s="30" t="n">
        <f aca="false">IF($B$3&gt;0,B90/$B$3,0)</f>
        <v>0</v>
      </c>
    </row>
    <row r="91" customFormat="false" ht="15" hidden="false" customHeight="false" outlineLevel="0" collapsed="false">
      <c r="A91" s="7" t="s">
        <v>235</v>
      </c>
      <c r="B91" s="16"/>
      <c r="C91" s="30" t="n">
        <f aca="false">IF($B$3&gt;0,B91/$B$3,0)</f>
        <v>0</v>
      </c>
    </row>
    <row r="92" customFormat="false" ht="15" hidden="false" customHeight="false" outlineLevel="0" collapsed="false">
      <c r="A92" s="7" t="s">
        <v>236</v>
      </c>
      <c r="B92" s="16"/>
      <c r="C92" s="30" t="n">
        <f aca="false">IF($B$3&gt;0,B92/$B$3,0)</f>
        <v>0</v>
      </c>
    </row>
    <row r="93" customFormat="false" ht="15" hidden="false" customHeight="false" outlineLevel="0" collapsed="false">
      <c r="A93" s="7" t="s">
        <v>237</v>
      </c>
      <c r="B93" s="16"/>
      <c r="C93" s="30" t="n">
        <f aca="false">IF($B$3&gt;0,B93/$B$3,0)</f>
        <v>0</v>
      </c>
    </row>
    <row r="94" customFormat="false" ht="15" hidden="false" customHeight="false" outlineLevel="0" collapsed="false">
      <c r="A94" s="7" t="s">
        <v>239</v>
      </c>
      <c r="B94" s="16"/>
      <c r="C94" s="30" t="n">
        <f aca="false">IF($B$3&gt;0,B94/$B$3,0)</f>
        <v>0</v>
      </c>
    </row>
    <row r="95" customFormat="false" ht="15" hidden="false" customHeight="false" outlineLevel="0" collapsed="false">
      <c r="A95" s="7" t="s">
        <v>241</v>
      </c>
      <c r="B95" s="16"/>
      <c r="C95" s="30" t="n">
        <f aca="false">IF($B$3&gt;0,B95/$B$3,0)</f>
        <v>0</v>
      </c>
    </row>
    <row r="96" customFormat="false" ht="15" hidden="false" customHeight="false" outlineLevel="0" collapsed="false">
      <c r="A96" s="7" t="s">
        <v>242</v>
      </c>
      <c r="B96" s="16"/>
      <c r="C96" s="30" t="n">
        <f aca="false">IF($B$3&gt;0,B96/$B$3,0)</f>
        <v>0</v>
      </c>
    </row>
    <row r="97" customFormat="false" ht="15" hidden="false" customHeight="false" outlineLevel="0" collapsed="false">
      <c r="A97" s="7" t="s">
        <v>243</v>
      </c>
      <c r="B97" s="16"/>
      <c r="C97" s="30" t="n">
        <f aca="false">IF($B$3&gt;0,B97/$B$3,0)</f>
        <v>0</v>
      </c>
    </row>
    <row r="98" customFormat="false" ht="15" hidden="false" customHeight="false" outlineLevel="0" collapsed="false">
      <c r="A98" s="7" t="s">
        <v>245</v>
      </c>
      <c r="B98" s="16"/>
      <c r="C98" s="30" t="n">
        <f aca="false">IF($B$3&gt;0,B98/$B$3,0)</f>
        <v>0</v>
      </c>
    </row>
    <row r="99" customFormat="false" ht="15" hidden="false" customHeight="false" outlineLevel="0" collapsed="false">
      <c r="A99" s="7" t="s">
        <v>246</v>
      </c>
      <c r="B99" s="16"/>
      <c r="C99" s="30" t="n">
        <f aca="false">IF($B$3&gt;0,B99/$B$3,0)</f>
        <v>0</v>
      </c>
    </row>
    <row r="100" customFormat="false" ht="15" hidden="false" customHeight="false" outlineLevel="0" collapsed="false">
      <c r="A100" s="7" t="s">
        <v>248</v>
      </c>
      <c r="B100" s="16"/>
      <c r="C100" s="30" t="n">
        <f aca="false">IF($B$3&gt;0,B100/$B$3,0)</f>
        <v>0</v>
      </c>
    </row>
    <row r="101" customFormat="false" ht="15" hidden="false" customHeight="false" outlineLevel="0" collapsed="false">
      <c r="A101" s="7" t="s">
        <v>249</v>
      </c>
      <c r="B101" s="16"/>
      <c r="C101" s="30" t="n">
        <f aca="false">IF($B$3&gt;0,B101/$B$3,0)</f>
        <v>0</v>
      </c>
    </row>
    <row r="102" customFormat="false" ht="15" hidden="false" customHeight="false" outlineLevel="0" collapsed="false">
      <c r="A102" s="7" t="s">
        <v>250</v>
      </c>
      <c r="B102" s="16"/>
      <c r="C102" s="30" t="n">
        <f aca="false">IF($B$3&gt;0,B102/$B$3,0)</f>
        <v>0</v>
      </c>
    </row>
    <row r="103" customFormat="false" ht="15" hidden="false" customHeight="false" outlineLevel="0" collapsed="false">
      <c r="A103" s="7" t="s">
        <v>251</v>
      </c>
      <c r="B103" s="16"/>
      <c r="C103" s="30" t="n">
        <f aca="false">IF($B$3&gt;0,B103/$B$3,0)</f>
        <v>0</v>
      </c>
    </row>
    <row r="104" customFormat="false" ht="15" hidden="false" customHeight="false" outlineLevel="0" collapsed="false">
      <c r="A104" s="7" t="s">
        <v>252</v>
      </c>
      <c r="B104" s="16"/>
      <c r="C104" s="30" t="n">
        <f aca="false">IF($B$3&gt;0,B104/$B$3,0)</f>
        <v>0</v>
      </c>
    </row>
    <row r="105" customFormat="false" ht="15" hidden="false" customHeight="false" outlineLevel="0" collapsed="false">
      <c r="A105" s="7" t="s">
        <v>253</v>
      </c>
      <c r="B105" s="16"/>
      <c r="C105" s="30" t="n">
        <f aca="false">IF($B$3&gt;0,B105/$B$3,0)</f>
        <v>0</v>
      </c>
    </row>
    <row r="106" customFormat="false" ht="15" hidden="false" customHeight="false" outlineLevel="0" collapsed="false">
      <c r="A106" s="7" t="s">
        <v>254</v>
      </c>
      <c r="B106" s="16"/>
      <c r="C106" s="30" t="n">
        <f aca="false">IF($B$3&gt;0,B106/$B$3,0)</f>
        <v>0</v>
      </c>
    </row>
    <row r="107" customFormat="false" ht="15" hidden="false" customHeight="false" outlineLevel="0" collapsed="false">
      <c r="A107" s="7" t="s">
        <v>255</v>
      </c>
      <c r="B107" s="16"/>
      <c r="C107" s="30" t="n">
        <f aca="false">IF($B$3&gt;0,B107/$B$3,0)</f>
        <v>0</v>
      </c>
    </row>
    <row r="108" customFormat="false" ht="15" hidden="false" customHeight="false" outlineLevel="0" collapsed="false">
      <c r="A108" s="7" t="s">
        <v>256</v>
      </c>
      <c r="B108" s="16"/>
      <c r="C108" s="30" t="n">
        <f aca="false">IF($B$3&gt;0,B108/$B$3,0)</f>
        <v>0</v>
      </c>
    </row>
    <row r="109" customFormat="false" ht="15" hidden="false" customHeight="false" outlineLevel="0" collapsed="false">
      <c r="A109" s="7" t="s">
        <v>257</v>
      </c>
      <c r="B109" s="16"/>
      <c r="C109" s="30" t="n">
        <f aca="false">IF($B$3&gt;0,B109/$B$3,0)</f>
        <v>0</v>
      </c>
    </row>
    <row r="110" customFormat="false" ht="15" hidden="false" customHeight="false" outlineLevel="0" collapsed="false">
      <c r="A110" s="7" t="s">
        <v>258</v>
      </c>
      <c r="B110" s="16"/>
      <c r="C110" s="30" t="n">
        <f aca="false">IF($B$3&gt;0,B110/$B$3,0)</f>
        <v>0</v>
      </c>
    </row>
    <row r="111" customFormat="false" ht="15" hidden="false" customHeight="false" outlineLevel="0" collapsed="false">
      <c r="A111" s="7" t="s">
        <v>259</v>
      </c>
      <c r="B111" s="16"/>
      <c r="C111" s="30" t="n">
        <f aca="false">IF($B$3&gt;0,B111/$B$3,0)</f>
        <v>0</v>
      </c>
    </row>
    <row r="112" customFormat="false" ht="15" hidden="false" customHeight="false" outlineLevel="0" collapsed="false">
      <c r="A112" s="7" t="s">
        <v>261</v>
      </c>
      <c r="B112" s="16"/>
      <c r="C112" s="30" t="n">
        <f aca="false">IF($B$3&gt;0,B112/$B$3,0)</f>
        <v>0</v>
      </c>
    </row>
    <row r="113" customFormat="false" ht="15" hidden="false" customHeight="false" outlineLevel="0" collapsed="false">
      <c r="A113" s="7" t="s">
        <v>263</v>
      </c>
      <c r="B113" s="16"/>
      <c r="C113" s="30" t="n">
        <f aca="false">IF($B$3&gt;0,B113/$B$3,0)</f>
        <v>0</v>
      </c>
    </row>
    <row r="114" customFormat="false" ht="15" hidden="false" customHeight="false" outlineLevel="0" collapsed="false">
      <c r="A114" s="7" t="s">
        <v>264</v>
      </c>
      <c r="B114" s="16"/>
      <c r="C114" s="30" t="n">
        <f aca="false">IF($B$3&gt;0,B114/$B$3,0)</f>
        <v>0</v>
      </c>
    </row>
    <row r="115" customFormat="false" ht="15" hidden="false" customHeight="false" outlineLevel="0" collapsed="false">
      <c r="A115" s="7" t="s">
        <v>266</v>
      </c>
      <c r="B115" s="16"/>
      <c r="C115" s="30" t="n">
        <f aca="false">IF($B$3&gt;0,B115/$B$3,0)</f>
        <v>0</v>
      </c>
    </row>
    <row r="116" customFormat="false" ht="15" hidden="false" customHeight="false" outlineLevel="0" collapsed="false">
      <c r="A116" s="7" t="s">
        <v>267</v>
      </c>
      <c r="B116" s="16"/>
      <c r="C116" s="30" t="n">
        <f aca="false">IF($B$3&gt;0,B116/$B$3,0)</f>
        <v>0</v>
      </c>
    </row>
    <row r="117" customFormat="false" ht="15" hidden="false" customHeight="false" outlineLevel="0" collapsed="false">
      <c r="A117" s="7" t="s">
        <v>269</v>
      </c>
      <c r="B117" s="16"/>
      <c r="C117" s="30" t="n">
        <f aca="false">IF($B$3&gt;0,B117/$B$3,0)</f>
        <v>0</v>
      </c>
    </row>
    <row r="118" customFormat="false" ht="15" hidden="false" customHeight="false" outlineLevel="0" collapsed="false">
      <c r="A118" s="7" t="s">
        <v>271</v>
      </c>
      <c r="B118" s="16"/>
      <c r="C118" s="30" t="n">
        <f aca="false">IF($B$3&gt;0,B118/$B$3,0)</f>
        <v>0</v>
      </c>
    </row>
    <row r="119" customFormat="false" ht="15" hidden="false" customHeight="false" outlineLevel="0" collapsed="false">
      <c r="A119" s="7" t="s">
        <v>272</v>
      </c>
      <c r="B119" s="16"/>
      <c r="C119" s="30" t="n">
        <f aca="false">IF($B$3&gt;0,B119/$B$3,0)</f>
        <v>0</v>
      </c>
    </row>
    <row r="120" customFormat="false" ht="15" hidden="false" customHeight="false" outlineLevel="0" collapsed="false">
      <c r="A120" s="7" t="s">
        <v>273</v>
      </c>
      <c r="B120" s="16"/>
      <c r="C120" s="30" t="n">
        <f aca="false">IF($B$3&gt;0,B120/$B$3,0)</f>
        <v>0</v>
      </c>
    </row>
    <row r="121" customFormat="false" ht="15" hidden="false" customHeight="false" outlineLevel="0" collapsed="false">
      <c r="A121" s="7" t="s">
        <v>275</v>
      </c>
      <c r="B121" s="16"/>
      <c r="C121" s="30" t="n">
        <f aca="false">IF($B$3&gt;0,B121/$B$3,0)</f>
        <v>0</v>
      </c>
    </row>
    <row r="122" customFormat="false" ht="15" hidden="false" customHeight="false" outlineLevel="0" collapsed="false">
      <c r="A122" s="7" t="s">
        <v>277</v>
      </c>
      <c r="B122" s="16"/>
      <c r="C122" s="30" t="n">
        <f aca="false">IF($B$3&gt;0,B122/$B$3,0)</f>
        <v>0</v>
      </c>
    </row>
    <row r="123" customFormat="false" ht="15" hidden="false" customHeight="false" outlineLevel="0" collapsed="false">
      <c r="A123" s="7" t="s">
        <v>278</v>
      </c>
      <c r="B123" s="16"/>
      <c r="C123" s="30" t="n">
        <f aca="false">IF($B$3&gt;0,B123/$B$3,0)</f>
        <v>0</v>
      </c>
    </row>
    <row r="124" customFormat="false" ht="15" hidden="false" customHeight="false" outlineLevel="0" collapsed="false">
      <c r="A124" s="7" t="s">
        <v>280</v>
      </c>
      <c r="B124" s="16"/>
      <c r="C124" s="30" t="n">
        <f aca="false">IF($B$3&gt;0,B124/$B$3,0)</f>
        <v>0</v>
      </c>
    </row>
    <row r="125" customFormat="false" ht="15" hidden="false" customHeight="false" outlineLevel="0" collapsed="false">
      <c r="A125" s="7" t="s">
        <v>281</v>
      </c>
      <c r="B125" s="16"/>
      <c r="C125" s="30" t="n">
        <f aca="false">IF($B$3&gt;0,B125/$B$3,0)</f>
        <v>0</v>
      </c>
    </row>
    <row r="126" customFormat="false" ht="15" hidden="false" customHeight="false" outlineLevel="0" collapsed="false">
      <c r="A126" s="7" t="s">
        <v>282</v>
      </c>
      <c r="B126" s="16"/>
      <c r="C126" s="30" t="n">
        <f aca="false">IF($B$3&gt;0,B126/$B$3,0)</f>
        <v>0</v>
      </c>
    </row>
    <row r="127" customFormat="false" ht="15" hidden="false" customHeight="false" outlineLevel="0" collapsed="false">
      <c r="A127" s="7" t="s">
        <v>284</v>
      </c>
      <c r="B127" s="16"/>
      <c r="C127" s="30" t="n">
        <f aca="false">IF($B$3&gt;0,B127/$B$3,0)</f>
        <v>0</v>
      </c>
    </row>
    <row r="128" customFormat="false" ht="15" hidden="false" customHeight="false" outlineLevel="0" collapsed="false">
      <c r="A128" s="7" t="s">
        <v>286</v>
      </c>
      <c r="B128" s="16"/>
      <c r="C128" s="30" t="n">
        <f aca="false">IF($B$3&gt;0,B128/$B$3,0)</f>
        <v>0</v>
      </c>
    </row>
    <row r="129" customFormat="false" ht="15" hidden="false" customHeight="false" outlineLevel="0" collapsed="false">
      <c r="A129" s="7" t="s">
        <v>288</v>
      </c>
      <c r="B129" s="16"/>
      <c r="C129" s="30" t="n">
        <f aca="false">IF($B$3&gt;0,B129/$B$3,0)</f>
        <v>0</v>
      </c>
    </row>
    <row r="130" customFormat="false" ht="15" hidden="false" customHeight="false" outlineLevel="0" collapsed="false">
      <c r="A130" s="7" t="s">
        <v>289</v>
      </c>
      <c r="B130" s="16"/>
      <c r="C130" s="30" t="n">
        <f aca="false">IF($B$3&gt;0,B130/$B$3,0)</f>
        <v>0</v>
      </c>
    </row>
    <row r="131" customFormat="false" ht="15" hidden="false" customHeight="false" outlineLevel="0" collapsed="false">
      <c r="A131" s="7" t="s">
        <v>291</v>
      </c>
      <c r="B131" s="16"/>
      <c r="C131" s="30" t="n">
        <f aca="false">IF($B$3&gt;0,B131/$B$3,0)</f>
        <v>0</v>
      </c>
    </row>
    <row r="132" customFormat="false" ht="15" hidden="false" customHeight="false" outlineLevel="0" collapsed="false">
      <c r="A132" s="7" t="s">
        <v>292</v>
      </c>
      <c r="B132" s="16"/>
      <c r="C132" s="30" t="n">
        <f aca="false">IF($B$3&gt;0,B132/$B$3,0)</f>
        <v>0</v>
      </c>
    </row>
    <row r="133" customFormat="false" ht="15" hidden="false" customHeight="false" outlineLevel="0" collapsed="false">
      <c r="A133" s="7" t="s">
        <v>293</v>
      </c>
      <c r="B133" s="16"/>
      <c r="C133" s="30" t="n">
        <f aca="false">IF($B$3&gt;0,B133/$B$3,0)</f>
        <v>0</v>
      </c>
    </row>
    <row r="134" customFormat="false" ht="15" hidden="false" customHeight="false" outlineLevel="0" collapsed="false">
      <c r="A134" s="7" t="s">
        <v>294</v>
      </c>
      <c r="B134" s="16"/>
      <c r="C134" s="30" t="n">
        <f aca="false">IF($B$3&gt;0,B134/$B$3,0)</f>
        <v>0</v>
      </c>
    </row>
    <row r="135" customFormat="false" ht="15" hidden="false" customHeight="false" outlineLevel="0" collapsed="false">
      <c r="A135" s="7" t="s">
        <v>295</v>
      </c>
      <c r="B135" s="16"/>
      <c r="C135" s="30" t="n">
        <f aca="false">IF($B$3&gt;0,B135/$B$3,0)</f>
        <v>0</v>
      </c>
    </row>
    <row r="136" customFormat="false" ht="15" hidden="false" customHeight="false" outlineLevel="0" collapsed="false">
      <c r="A136" s="7" t="s">
        <v>297</v>
      </c>
      <c r="B136" s="16"/>
      <c r="C136" s="30" t="n">
        <f aca="false">IF($B$3&gt;0,B136/$B$3,0)</f>
        <v>0</v>
      </c>
    </row>
    <row r="137" customFormat="false" ht="15" hidden="false" customHeight="false" outlineLevel="0" collapsed="false">
      <c r="A137" s="7" t="s">
        <v>298</v>
      </c>
      <c r="B137" s="16"/>
      <c r="C137" s="30" t="n">
        <f aca="false">IF($B$3&gt;0,B137/$B$3,0)</f>
        <v>0</v>
      </c>
    </row>
    <row r="138" customFormat="false" ht="15" hidden="false" customHeight="false" outlineLevel="0" collapsed="false">
      <c r="A138" s="7" t="s">
        <v>299</v>
      </c>
      <c r="B138" s="16"/>
      <c r="C138" s="30" t="n">
        <f aca="false">IF($B$3&gt;0,B138/$B$3,0)</f>
        <v>0</v>
      </c>
    </row>
    <row r="139" customFormat="false" ht="15" hidden="false" customHeight="false" outlineLevel="0" collapsed="false">
      <c r="A139" s="7" t="s">
        <v>301</v>
      </c>
      <c r="B139" s="16"/>
      <c r="C139" s="30" t="n">
        <f aca="false">IF($B$3&gt;0,B139/$B$3,0)</f>
        <v>0</v>
      </c>
    </row>
    <row r="140" customFormat="false" ht="15" hidden="false" customHeight="false" outlineLevel="0" collapsed="false">
      <c r="A140" s="7" t="s">
        <v>303</v>
      </c>
      <c r="B140" s="16"/>
      <c r="C140" s="30" t="n">
        <f aca="false">IF($B$3&gt;0,B140/$B$3,0)</f>
        <v>0</v>
      </c>
    </row>
    <row r="141" customFormat="false" ht="15" hidden="false" customHeight="false" outlineLevel="0" collapsed="false">
      <c r="A141" s="7" t="s">
        <v>304</v>
      </c>
      <c r="B141" s="16"/>
      <c r="C141" s="30" t="n">
        <f aca="false">IF($B$3&gt;0,B141/$B$3,0)</f>
        <v>0</v>
      </c>
    </row>
    <row r="142" customFormat="false" ht="15" hidden="false" customHeight="false" outlineLevel="0" collapsed="false">
      <c r="A142" s="7" t="s">
        <v>305</v>
      </c>
      <c r="B142" s="16"/>
      <c r="C142" s="30" t="n">
        <f aca="false">IF($B$3&gt;0,B142/$B$3,0)</f>
        <v>0</v>
      </c>
    </row>
    <row r="143" customFormat="false" ht="15" hidden="false" customHeight="false" outlineLevel="0" collapsed="false">
      <c r="A143" s="7" t="s">
        <v>307</v>
      </c>
      <c r="B143" s="16"/>
      <c r="C143" s="30" t="n">
        <f aca="false">IF($B$3&gt;0,B143/$B$3,0)</f>
        <v>0</v>
      </c>
    </row>
    <row r="144" customFormat="false" ht="15" hidden="false" customHeight="false" outlineLevel="0" collapsed="false">
      <c r="A144" s="7" t="s">
        <v>309</v>
      </c>
      <c r="B144" s="16"/>
      <c r="C144" s="30" t="n">
        <f aca="false">IF($B$3&gt;0,B144/$B$3,0)</f>
        <v>0</v>
      </c>
    </row>
    <row r="145" customFormat="false" ht="15" hidden="false" customHeight="false" outlineLevel="0" collapsed="false">
      <c r="A145" s="7" t="s">
        <v>310</v>
      </c>
      <c r="B145" s="16"/>
      <c r="C145" s="30" t="n">
        <f aca="false">IF($B$3&gt;0,B145/$B$3,0)</f>
        <v>0</v>
      </c>
    </row>
    <row r="146" customFormat="false" ht="15" hidden="false" customHeight="false" outlineLevel="0" collapsed="false">
      <c r="A146" s="7" t="s">
        <v>311</v>
      </c>
      <c r="B146" s="16"/>
      <c r="C146" s="30" t="n">
        <f aca="false">IF($B$3&gt;0,B146/$B$3,0)</f>
        <v>0</v>
      </c>
    </row>
    <row r="147" customFormat="false" ht="15" hidden="false" customHeight="false" outlineLevel="0" collapsed="false">
      <c r="A147" s="7" t="s">
        <v>312</v>
      </c>
      <c r="B147" s="16"/>
      <c r="C147" s="30" t="n">
        <f aca="false">IF($B$3&gt;0,B147/$B$3,0)</f>
        <v>0</v>
      </c>
    </row>
    <row r="148" customFormat="false" ht="15" hidden="false" customHeight="false" outlineLevel="0" collapsed="false">
      <c r="A148" s="7" t="s">
        <v>314</v>
      </c>
      <c r="B148" s="16"/>
      <c r="C148" s="30" t="n">
        <f aca="false">IF($B$3&gt;0,B148/$B$3,0)</f>
        <v>0</v>
      </c>
    </row>
    <row r="149" customFormat="false" ht="15" hidden="false" customHeight="false" outlineLevel="0" collapsed="false">
      <c r="A149" s="7" t="s">
        <v>316</v>
      </c>
      <c r="B149" s="16"/>
      <c r="C149" s="30" t="n">
        <f aca="false">IF($B$3&gt;0,B149/$B$3,0)</f>
        <v>0</v>
      </c>
    </row>
    <row r="150" customFormat="false" ht="15" hidden="false" customHeight="false" outlineLevel="0" collapsed="false">
      <c r="A150" s="7" t="s">
        <v>317</v>
      </c>
      <c r="B150" s="16"/>
      <c r="C150" s="30" t="n">
        <f aca="false">IF($B$3&gt;0,B150/$B$3,0)</f>
        <v>0</v>
      </c>
    </row>
    <row r="151" customFormat="false" ht="15" hidden="false" customHeight="false" outlineLevel="0" collapsed="false">
      <c r="A151" s="7" t="s">
        <v>319</v>
      </c>
      <c r="B151" s="16"/>
      <c r="C151" s="30" t="n">
        <f aca="false">IF($B$3&gt;0,B151/$B$3,0)</f>
        <v>0</v>
      </c>
    </row>
    <row r="152" customFormat="false" ht="15" hidden="false" customHeight="false" outlineLevel="0" collapsed="false">
      <c r="A152" s="7" t="s">
        <v>320</v>
      </c>
      <c r="B152" s="16"/>
      <c r="C152" s="30" t="n">
        <f aca="false">IF($B$3&gt;0,B152/$B$3,0)</f>
        <v>0</v>
      </c>
    </row>
    <row r="153" customFormat="false" ht="15" hidden="false" customHeight="false" outlineLevel="0" collapsed="false">
      <c r="A153" s="7" t="s">
        <v>321</v>
      </c>
      <c r="B153" s="16"/>
      <c r="C153" s="30" t="n">
        <f aca="false">IF($B$3&gt;0,B153/$B$3,0)</f>
        <v>0</v>
      </c>
    </row>
    <row r="154" customFormat="false" ht="15" hidden="false" customHeight="false" outlineLevel="0" collapsed="false">
      <c r="A154" s="7" t="s">
        <v>322</v>
      </c>
      <c r="B154" s="16"/>
      <c r="C154" s="30" t="n">
        <f aca="false">IF($B$3&gt;0,B154/$B$3,0)</f>
        <v>0</v>
      </c>
    </row>
    <row r="155" customFormat="false" ht="15" hidden="false" customHeight="false" outlineLevel="0" collapsed="false">
      <c r="A155" s="7" t="s">
        <v>323</v>
      </c>
      <c r="B155" s="16"/>
      <c r="C155" s="30" t="n">
        <f aca="false">IF($B$3&gt;0,B155/$B$3,0)</f>
        <v>0</v>
      </c>
    </row>
    <row r="156" customFormat="false" ht="15" hidden="false" customHeight="false" outlineLevel="0" collapsed="false">
      <c r="A156" s="7" t="s">
        <v>324</v>
      </c>
      <c r="B156" s="16"/>
      <c r="C156" s="30" t="n">
        <f aca="false">IF($B$3&gt;0,B156/$B$3,0)</f>
        <v>0</v>
      </c>
    </row>
    <row r="157" customFormat="false" ht="15" hidden="false" customHeight="false" outlineLevel="0" collapsed="false">
      <c r="A157" s="7" t="s">
        <v>325</v>
      </c>
      <c r="B157" s="16"/>
      <c r="C157" s="30" t="n">
        <f aca="false">IF($B$3&gt;0,B157/$B$3,0)</f>
        <v>0</v>
      </c>
    </row>
    <row r="158" customFormat="false" ht="15" hidden="false" customHeight="false" outlineLevel="0" collapsed="false">
      <c r="A158" s="7" t="s">
        <v>326</v>
      </c>
      <c r="B158" s="16"/>
      <c r="C158" s="30" t="n">
        <f aca="false">IF($B$3&gt;0,B158/$B$3,0)</f>
        <v>0</v>
      </c>
    </row>
    <row r="159" customFormat="false" ht="15" hidden="false" customHeight="false" outlineLevel="0" collapsed="false">
      <c r="A159" s="7" t="s">
        <v>328</v>
      </c>
      <c r="B159" s="16"/>
      <c r="C159" s="30" t="n">
        <f aca="false">IF($B$3&gt;0,B159/$B$3,0)</f>
        <v>0</v>
      </c>
    </row>
    <row r="160" customFormat="false" ht="15" hidden="false" customHeight="false" outlineLevel="0" collapsed="false">
      <c r="A160" s="7" t="s">
        <v>330</v>
      </c>
      <c r="B160" s="16"/>
      <c r="C160" s="30" t="n">
        <f aca="false">IF($B$3&gt;0,B160/$B$3,0)</f>
        <v>0</v>
      </c>
    </row>
    <row r="161" customFormat="false" ht="15" hidden="false" customHeight="false" outlineLevel="0" collapsed="false">
      <c r="A161" s="7" t="s">
        <v>331</v>
      </c>
      <c r="B161" s="16"/>
      <c r="C161" s="30" t="n">
        <f aca="false">IF($B$3&gt;0,B161/$B$3,0)</f>
        <v>0</v>
      </c>
    </row>
    <row r="162" customFormat="false" ht="15" hidden="false" customHeight="false" outlineLevel="0" collapsed="false">
      <c r="A162" s="7" t="s">
        <v>332</v>
      </c>
      <c r="B162" s="16"/>
      <c r="C162" s="30" t="n">
        <f aca="false">IF($B$3&gt;0,B162/$B$3,0)</f>
        <v>0</v>
      </c>
    </row>
    <row r="163" customFormat="false" ht="15" hidden="false" customHeight="false" outlineLevel="0" collapsed="false">
      <c r="A163" s="7" t="s">
        <v>334</v>
      </c>
      <c r="B163" s="16"/>
      <c r="C163" s="30" t="n">
        <f aca="false">IF($B$3&gt;0,B163/$B$3,0)</f>
        <v>0</v>
      </c>
    </row>
    <row r="164" customFormat="false" ht="15" hidden="false" customHeight="false" outlineLevel="0" collapsed="false">
      <c r="A164" s="7" t="s">
        <v>336</v>
      </c>
      <c r="B164" s="16"/>
      <c r="C164" s="30" t="n">
        <f aca="false">IF($B$3&gt;0,B164/$B$3,0)</f>
        <v>0</v>
      </c>
    </row>
    <row r="165" customFormat="false" ht="15" hidden="false" customHeight="false" outlineLevel="0" collapsed="false">
      <c r="A165" s="7" t="s">
        <v>337</v>
      </c>
      <c r="B165" s="16"/>
      <c r="C165" s="30" t="n">
        <f aca="false">IF($B$3&gt;0,B165/$B$3,0)</f>
        <v>0</v>
      </c>
    </row>
    <row r="166" customFormat="false" ht="15" hidden="false" customHeight="false" outlineLevel="0" collapsed="false">
      <c r="A166" s="7" t="s">
        <v>338</v>
      </c>
      <c r="B166" s="16"/>
      <c r="C166" s="30" t="n">
        <f aca="false">IF($B$3&gt;0,B166/$B$3,0)</f>
        <v>0</v>
      </c>
    </row>
    <row r="167" customFormat="false" ht="15" hidden="false" customHeight="false" outlineLevel="0" collapsed="false">
      <c r="A167" s="7" t="s">
        <v>340</v>
      </c>
      <c r="B167" s="16"/>
      <c r="C167" s="30" t="n">
        <f aca="false">IF($B$3&gt;0,B167/$B$3,0)</f>
        <v>0</v>
      </c>
    </row>
    <row r="168" customFormat="false" ht="15" hidden="false" customHeight="false" outlineLevel="0" collapsed="false">
      <c r="A168" s="7" t="s">
        <v>341</v>
      </c>
      <c r="B168" s="16"/>
      <c r="C168" s="30" t="n">
        <f aca="false">IF($B$3&gt;0,B168/$B$3,0)</f>
        <v>0</v>
      </c>
    </row>
    <row r="169" customFormat="false" ht="15" hidden="false" customHeight="false" outlineLevel="0" collapsed="false">
      <c r="A169" s="7" t="s">
        <v>342</v>
      </c>
      <c r="B169" s="16"/>
      <c r="C169" s="30" t="n">
        <f aca="false">IF($B$3&gt;0,B169/$B$3,0)</f>
        <v>0</v>
      </c>
    </row>
    <row r="170" customFormat="false" ht="15" hidden="false" customHeight="false" outlineLevel="0" collapsed="false">
      <c r="A170" s="7" t="s">
        <v>343</v>
      </c>
      <c r="B170" s="16"/>
      <c r="C170" s="30" t="n">
        <f aca="false">IF($B$3&gt;0,B170/$B$3,0)</f>
        <v>0</v>
      </c>
    </row>
    <row r="171" customFormat="false" ht="15" hidden="false" customHeight="false" outlineLevel="0" collapsed="false">
      <c r="A171" s="7" t="s">
        <v>345</v>
      </c>
      <c r="B171" s="16"/>
      <c r="C171" s="30" t="n">
        <f aca="false">IF($B$3&gt;0,B171/$B$3,0)</f>
        <v>0</v>
      </c>
    </row>
    <row r="172" customFormat="false" ht="15" hidden="false" customHeight="false" outlineLevel="0" collapsed="false">
      <c r="A172" s="7" t="s">
        <v>346</v>
      </c>
      <c r="B172" s="16"/>
      <c r="C172" s="30" t="n">
        <f aca="false">IF($B$3&gt;0,B172/$B$3,0)</f>
        <v>0</v>
      </c>
    </row>
    <row r="173" customFormat="false" ht="15" hidden="false" customHeight="false" outlineLevel="0" collapsed="false">
      <c r="A173" s="7" t="s">
        <v>347</v>
      </c>
      <c r="B173" s="16"/>
      <c r="C173" s="30" t="n">
        <f aca="false">IF($B$3&gt;0,B173/$B$3,0)</f>
        <v>0</v>
      </c>
    </row>
    <row r="174" customFormat="false" ht="15" hidden="false" customHeight="false" outlineLevel="0" collapsed="false">
      <c r="A174" s="7" t="s">
        <v>349</v>
      </c>
      <c r="B174" s="16"/>
      <c r="C174" s="30" t="n">
        <f aca="false">IF($B$3&gt;0,B174/$B$3,0)</f>
        <v>0</v>
      </c>
    </row>
    <row r="175" customFormat="false" ht="15" hidden="false" customHeight="false" outlineLevel="0" collapsed="false">
      <c r="A175" s="7" t="s">
        <v>350</v>
      </c>
      <c r="B175" s="16"/>
      <c r="C175" s="30" t="n">
        <f aca="false">IF($B$3&gt;0,B175/$B$3,0)</f>
        <v>0</v>
      </c>
    </row>
    <row r="176" customFormat="false" ht="15" hidden="false" customHeight="false" outlineLevel="0" collapsed="false">
      <c r="A176" s="7" t="s">
        <v>351</v>
      </c>
      <c r="B176" s="16"/>
      <c r="C176" s="30" t="n">
        <f aca="false">IF($B$3&gt;0,B176/$B$3,0)</f>
        <v>0</v>
      </c>
    </row>
    <row r="177" customFormat="false" ht="15" hidden="false" customHeight="false" outlineLevel="0" collapsed="false">
      <c r="A177" s="7" t="s">
        <v>353</v>
      </c>
      <c r="B177" s="16"/>
      <c r="C177" s="30" t="n">
        <f aca="false">IF($B$3&gt;0,B177/$B$3,0)</f>
        <v>0</v>
      </c>
    </row>
    <row r="178" customFormat="false" ht="15" hidden="false" customHeight="false" outlineLevel="0" collapsed="false">
      <c r="A178" s="7" t="s">
        <v>356</v>
      </c>
      <c r="B178" s="16"/>
      <c r="C178" s="30" t="n">
        <f aca="false">IF($B$3&gt;0,B178/$B$3,0)</f>
        <v>0</v>
      </c>
    </row>
    <row r="179" customFormat="false" ht="15" hidden="false" customHeight="false" outlineLevel="0" collapsed="false">
      <c r="A179" s="7" t="s">
        <v>358</v>
      </c>
      <c r="B179" s="16"/>
      <c r="C179" s="30" t="n">
        <f aca="false">IF($B$3&gt;0,B179/$B$3,0)</f>
        <v>0</v>
      </c>
    </row>
    <row r="180" customFormat="false" ht="15" hidden="false" customHeight="false" outlineLevel="0" collapsed="false">
      <c r="A180" s="7" t="s">
        <v>359</v>
      </c>
      <c r="B180" s="16"/>
      <c r="C180" s="30" t="n">
        <f aca="false">IF($B$3&gt;0,B180/$B$3,0)</f>
        <v>0</v>
      </c>
    </row>
    <row r="181" customFormat="false" ht="15" hidden="false" customHeight="false" outlineLevel="0" collapsed="false">
      <c r="A181" s="7" t="s">
        <v>362</v>
      </c>
      <c r="B181" s="16"/>
      <c r="C181" s="30" t="n">
        <f aca="false">IF($B$3&gt;0,B181/$B$3,0)</f>
        <v>0</v>
      </c>
    </row>
    <row r="182" customFormat="false" ht="15" hidden="false" customHeight="false" outlineLevel="0" collapsed="false">
      <c r="A182" s="7" t="s">
        <v>364</v>
      </c>
      <c r="B182" s="16"/>
      <c r="C182" s="30" t="n">
        <f aca="false">IF($B$3&gt;0,B182/$B$3,0)</f>
        <v>0</v>
      </c>
    </row>
    <row r="183" customFormat="false" ht="15" hidden="false" customHeight="false" outlineLevel="0" collapsed="false">
      <c r="A183" s="7" t="s">
        <v>365</v>
      </c>
      <c r="B183" s="16"/>
      <c r="C183" s="30" t="n">
        <f aca="false">IF($B$3&gt;0,B183/$B$3,0)</f>
        <v>0</v>
      </c>
    </row>
    <row r="184" customFormat="false" ht="15" hidden="false" customHeight="false" outlineLevel="0" collapsed="false">
      <c r="A184" s="7" t="s">
        <v>367</v>
      </c>
      <c r="B184" s="16"/>
      <c r="C184" s="30" t="n">
        <f aca="false">IF($B$3&gt;0,B184/$B$3,0)</f>
        <v>0</v>
      </c>
    </row>
    <row r="185" customFormat="false" ht="15" hidden="false" customHeight="false" outlineLevel="0" collapsed="false">
      <c r="A185" s="7" t="s">
        <v>368</v>
      </c>
      <c r="B185" s="16"/>
      <c r="C185" s="30" t="n">
        <f aca="false">IF($B$3&gt;0,B185/$B$3,0)</f>
        <v>0</v>
      </c>
    </row>
    <row r="186" customFormat="false" ht="15" hidden="false" customHeight="false" outlineLevel="0" collapsed="false">
      <c r="A186" s="7" t="s">
        <v>369</v>
      </c>
      <c r="B186" s="16"/>
      <c r="C186" s="30" t="n">
        <f aca="false">IF($B$3&gt;0,B186/$B$3,0)</f>
        <v>0</v>
      </c>
    </row>
    <row r="187" customFormat="false" ht="15" hidden="false" customHeight="false" outlineLevel="0" collapsed="false">
      <c r="A187" s="7" t="s">
        <v>370</v>
      </c>
      <c r="B187" s="16"/>
      <c r="C187" s="30" t="n">
        <f aca="false">IF($B$3&gt;0,B187/$B$3,0)</f>
        <v>0</v>
      </c>
    </row>
    <row r="188" customFormat="false" ht="15" hidden="false" customHeight="false" outlineLevel="0" collapsed="false">
      <c r="A188" s="7" t="s">
        <v>371</v>
      </c>
      <c r="B188" s="16"/>
      <c r="C188" s="30" t="n">
        <f aca="false">IF($B$3&gt;0,B188/$B$3,0)</f>
        <v>0</v>
      </c>
    </row>
    <row r="189" customFormat="false" ht="15" hidden="false" customHeight="false" outlineLevel="0" collapsed="false">
      <c r="A189" s="7" t="s">
        <v>372</v>
      </c>
      <c r="B189" s="16"/>
      <c r="C189" s="30" t="n">
        <f aca="false">IF($B$3&gt;0,B189/$B$3,0)</f>
        <v>0</v>
      </c>
    </row>
    <row r="190" customFormat="false" ht="15" hidden="false" customHeight="false" outlineLevel="0" collapsed="false">
      <c r="A190" s="7" t="s">
        <v>374</v>
      </c>
      <c r="B190" s="16"/>
      <c r="C190" s="30" t="n">
        <f aca="false">IF($B$3&gt;0,B190/$B$3,0)</f>
        <v>0</v>
      </c>
    </row>
    <row r="191" customFormat="false" ht="15" hidden="false" customHeight="false" outlineLevel="0" collapsed="false">
      <c r="A191" s="7" t="s">
        <v>375</v>
      </c>
      <c r="B191" s="16"/>
      <c r="C191" s="30" t="n">
        <f aca="false">IF($B$3&gt;0,B191/$B$3,0)</f>
        <v>0</v>
      </c>
    </row>
    <row r="192" customFormat="false" ht="15" hidden="false" customHeight="false" outlineLevel="0" collapsed="false">
      <c r="A192" s="7" t="s">
        <v>376</v>
      </c>
      <c r="B192" s="16"/>
      <c r="C192" s="30" t="n">
        <f aca="false">IF($B$3&gt;0,B192/$B$3,0)</f>
        <v>0</v>
      </c>
    </row>
    <row r="193" customFormat="false" ht="15" hidden="false" customHeight="false" outlineLevel="0" collapsed="false">
      <c r="A193" s="7" t="s">
        <v>377</v>
      </c>
      <c r="B193" s="16"/>
      <c r="C193" s="30" t="n">
        <f aca="false">IF($B$3&gt;0,B193/$B$3,0)</f>
        <v>0</v>
      </c>
    </row>
    <row r="194" customFormat="false" ht="15" hidden="false" customHeight="false" outlineLevel="0" collapsed="false">
      <c r="A194" s="7" t="s">
        <v>378</v>
      </c>
      <c r="B194" s="16"/>
      <c r="C194" s="30" t="n">
        <f aca="false">IF($B$3&gt;0,B194/$B$3,0)</f>
        <v>0</v>
      </c>
    </row>
    <row r="195" customFormat="false" ht="15" hidden="false" customHeight="false" outlineLevel="0" collapsed="false">
      <c r="A195" s="7" t="s">
        <v>379</v>
      </c>
      <c r="B195" s="16"/>
      <c r="C195" s="30" t="n">
        <f aca="false">IF($B$3&gt;0,B195/$B$3,0)</f>
        <v>0</v>
      </c>
    </row>
    <row r="196" customFormat="false" ht="15" hidden="false" customHeight="false" outlineLevel="0" collapsed="false">
      <c r="A196" s="7" t="s">
        <v>380</v>
      </c>
      <c r="B196" s="16"/>
      <c r="C196" s="30" t="n">
        <f aca="false">IF($B$3&gt;0,B196/$B$3,0)</f>
        <v>0</v>
      </c>
    </row>
    <row r="197" customFormat="false" ht="15" hidden="false" customHeight="false" outlineLevel="0" collapsed="false">
      <c r="A197" s="7" t="s">
        <v>381</v>
      </c>
      <c r="B197" s="16"/>
      <c r="C197" s="30" t="n">
        <f aca="false">IF($B$3&gt;0,B197/$B$3,0)</f>
        <v>0</v>
      </c>
    </row>
    <row r="198" customFormat="false" ht="15" hidden="false" customHeight="false" outlineLevel="0" collapsed="false">
      <c r="A198" s="7" t="s">
        <v>382</v>
      </c>
      <c r="B198" s="16"/>
      <c r="C198" s="30" t="n">
        <f aca="false">IF($B$3&gt;0,B198/$B$3,0)</f>
        <v>0</v>
      </c>
    </row>
    <row r="199" customFormat="false" ht="15" hidden="false" customHeight="false" outlineLevel="0" collapsed="false">
      <c r="A199" s="7" t="s">
        <v>384</v>
      </c>
      <c r="B199" s="16"/>
      <c r="C199" s="30" t="n">
        <f aca="false">IF($B$3&gt;0,B199/$B$3,0)</f>
        <v>0</v>
      </c>
    </row>
    <row r="200" customFormat="false" ht="15" hidden="false" customHeight="false" outlineLevel="0" collapsed="false">
      <c r="A200" s="7" t="s">
        <v>385</v>
      </c>
      <c r="B200" s="16"/>
      <c r="C200" s="30" t="n">
        <f aca="false">IF($B$3&gt;0,B200/$B$3,0)</f>
        <v>0</v>
      </c>
    </row>
    <row r="201" customFormat="false" ht="15" hidden="false" customHeight="false" outlineLevel="0" collapsed="false">
      <c r="A201" s="7" t="s">
        <v>386</v>
      </c>
      <c r="B201" s="16"/>
      <c r="C201" s="30" t="n">
        <f aca="false">IF($B$3&gt;0,B201/$B$3,0)</f>
        <v>0</v>
      </c>
    </row>
    <row r="202" customFormat="false" ht="15" hidden="false" customHeight="false" outlineLevel="0" collapsed="false">
      <c r="A202" s="7" t="s">
        <v>387</v>
      </c>
      <c r="B202" s="16"/>
      <c r="C202" s="30" t="n">
        <f aca="false">IF($B$3&gt;0,B202/$B$3,0)</f>
        <v>0</v>
      </c>
    </row>
    <row r="203" customFormat="false" ht="15" hidden="false" customHeight="false" outlineLevel="0" collapsed="false">
      <c r="A203" s="7" t="s">
        <v>388</v>
      </c>
      <c r="B203" s="16"/>
      <c r="C203" s="30" t="n">
        <f aca="false">IF($B$3&gt;0,B203/$B$3,0)</f>
        <v>0</v>
      </c>
    </row>
    <row r="204" customFormat="false" ht="15" hidden="false" customHeight="false" outlineLevel="0" collapsed="false">
      <c r="A204" s="7" t="s">
        <v>390</v>
      </c>
      <c r="B204" s="16"/>
      <c r="C204" s="30" t="n">
        <f aca="false">IF($B$3&gt;0,B204/$B$3,0)</f>
        <v>0</v>
      </c>
    </row>
    <row r="205" customFormat="false" ht="15" hidden="false" customHeight="false" outlineLevel="0" collapsed="false">
      <c r="A205" s="7" t="s">
        <v>391</v>
      </c>
      <c r="B205" s="16"/>
      <c r="C205" s="30" t="n">
        <f aca="false">IF($B$3&gt;0,B205/$B$3,0)</f>
        <v>0</v>
      </c>
    </row>
    <row r="206" customFormat="false" ht="15" hidden="false" customHeight="false" outlineLevel="0" collapsed="false">
      <c r="A206" s="7" t="s">
        <v>392</v>
      </c>
      <c r="B206" s="16"/>
      <c r="C206" s="30" t="n">
        <f aca="false">IF($B$3&gt;0,B206/$B$3,0)</f>
        <v>0</v>
      </c>
    </row>
    <row r="207" customFormat="false" ht="15" hidden="false" customHeight="false" outlineLevel="0" collapsed="false">
      <c r="A207" s="7" t="s">
        <v>393</v>
      </c>
      <c r="B207" s="16"/>
      <c r="C207" s="30" t="n">
        <f aca="false">IF($B$3&gt;0,B207/$B$3,0)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26"/>
    <col collapsed="false" customWidth="true" hidden="false" outlineLevel="0" max="6" min="6" style="0" width="3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4" t="s">
        <v>454</v>
      </c>
    </row>
    <row r="3" customFormat="false" ht="15" hidden="false" customHeight="false" outlineLevel="0" collapsed="false">
      <c r="A3" s="18" t="s">
        <v>455</v>
      </c>
      <c r="B3" s="18" t="s">
        <v>68</v>
      </c>
      <c r="C3" s="18" t="s">
        <v>456</v>
      </c>
      <c r="D3" s="18" t="s">
        <v>457</v>
      </c>
      <c r="E3" s="18" t="s">
        <v>458</v>
      </c>
      <c r="F3" s="18" t="s">
        <v>459</v>
      </c>
      <c r="G3" s="18" t="s">
        <v>460</v>
      </c>
    </row>
    <row r="4" customFormat="false" ht="23.85" hidden="false" customHeight="false" outlineLevel="0" collapsed="false">
      <c r="A4" s="36" t="s">
        <v>351</v>
      </c>
      <c r="B4" s="36" t="s">
        <v>96</v>
      </c>
      <c r="C4" s="36" t="s">
        <v>461</v>
      </c>
      <c r="D4" s="36" t="s">
        <v>462</v>
      </c>
      <c r="E4" s="36" t="s">
        <v>463</v>
      </c>
      <c r="F4" s="36" t="s">
        <v>464</v>
      </c>
      <c r="G4" s="36" t="s">
        <v>465</v>
      </c>
    </row>
    <row r="5" customFormat="false" ht="23.85" hidden="false" customHeight="false" outlineLevel="0" collapsed="false">
      <c r="A5" s="36" t="s">
        <v>353</v>
      </c>
      <c r="B5" s="36" t="s">
        <v>149</v>
      </c>
      <c r="C5" s="36" t="s">
        <v>466</v>
      </c>
      <c r="D5" s="36" t="s">
        <v>467</v>
      </c>
      <c r="E5" s="36" t="s">
        <v>468</v>
      </c>
      <c r="F5" s="36" t="s">
        <v>469</v>
      </c>
      <c r="G5" s="36" t="s">
        <v>470</v>
      </c>
    </row>
    <row r="6" customFormat="false" ht="23.85" hidden="false" customHeight="false" outlineLevel="0" collapsed="false">
      <c r="A6" s="36" t="s">
        <v>359</v>
      </c>
      <c r="B6" s="36" t="s">
        <v>149</v>
      </c>
      <c r="C6" s="36" t="s">
        <v>471</v>
      </c>
      <c r="D6" s="36" t="s">
        <v>472</v>
      </c>
      <c r="E6" s="36" t="s">
        <v>473</v>
      </c>
      <c r="F6" s="36" t="s">
        <v>474</v>
      </c>
      <c r="G6" s="36" t="s">
        <v>475</v>
      </c>
    </row>
    <row r="7" customFormat="false" ht="23.85" hidden="false" customHeight="false" outlineLevel="0" collapsed="false">
      <c r="A7" s="36" t="s">
        <v>95</v>
      </c>
      <c r="B7" s="36" t="s">
        <v>96</v>
      </c>
      <c r="C7" s="36" t="s">
        <v>476</v>
      </c>
      <c r="D7" s="36" t="s">
        <v>477</v>
      </c>
      <c r="E7" s="36" t="s">
        <v>478</v>
      </c>
      <c r="F7" s="36" t="s">
        <v>479</v>
      </c>
      <c r="G7" s="36" t="s">
        <v>480</v>
      </c>
    </row>
    <row r="8" customFormat="false" ht="23.85" hidden="false" customHeight="false" outlineLevel="0" collapsed="false">
      <c r="A8" s="36" t="s">
        <v>481</v>
      </c>
      <c r="B8" s="36" t="s">
        <v>96</v>
      </c>
      <c r="C8" s="36" t="s">
        <v>482</v>
      </c>
      <c r="D8" s="36" t="s">
        <v>483</v>
      </c>
      <c r="E8" s="36" t="s">
        <v>484</v>
      </c>
      <c r="F8" s="36" t="s">
        <v>485</v>
      </c>
      <c r="G8" s="36" t="s">
        <v>486</v>
      </c>
    </row>
    <row r="9" customFormat="false" ht="15" hidden="false" customHeight="false" outlineLevel="0" collapsed="false">
      <c r="A9" s="36" t="s">
        <v>487</v>
      </c>
      <c r="B9" s="36" t="s">
        <v>96</v>
      </c>
      <c r="C9" s="36" t="s">
        <v>488</v>
      </c>
      <c r="D9" s="36" t="s">
        <v>489</v>
      </c>
      <c r="E9" s="36" t="s">
        <v>490</v>
      </c>
      <c r="F9" s="36" t="s">
        <v>491</v>
      </c>
      <c r="G9" s="36" t="s">
        <v>492</v>
      </c>
    </row>
    <row r="10" customFormat="false" ht="15" hidden="false" customHeight="false" outlineLevel="0" collapsed="false">
      <c r="A10" s="36" t="s">
        <v>487</v>
      </c>
      <c r="B10" s="36" t="s">
        <v>109</v>
      </c>
      <c r="C10" s="36" t="s">
        <v>493</v>
      </c>
      <c r="D10" s="36" t="s">
        <v>489</v>
      </c>
      <c r="E10" s="36" t="s">
        <v>494</v>
      </c>
      <c r="F10" s="36" t="s">
        <v>491</v>
      </c>
      <c r="G10" s="36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495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496</v>
      </c>
    </row>
    <row r="4" customFormat="false" ht="35.05" hidden="false" customHeight="false" outlineLevel="0" collapsed="false">
      <c r="A4" s="2" t="s">
        <v>497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498</v>
      </c>
    </row>
    <row r="7" customFormat="false" ht="23.85" hidden="false" customHeight="false" outlineLevel="0" collapsed="false">
      <c r="A7" s="2" t="s">
        <v>499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500</v>
      </c>
    </row>
    <row r="10" customFormat="false" ht="23.85" hidden="false" customHeight="false" outlineLevel="0" collapsed="false">
      <c r="A10" s="2" t="s">
        <v>501</v>
      </c>
    </row>
    <row r="11" customFormat="false" ht="15" hidden="false" customHeight="false" outlineLevel="0" collapsed="false">
      <c r="A11" s="2" t="s">
        <v>502</v>
      </c>
    </row>
    <row r="12" customFormat="false" ht="15" hidden="false" customHeight="false" outlineLevel="0" collapsed="false">
      <c r="A12" s="2" t="s">
        <v>503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504</v>
      </c>
    </row>
    <row r="15" customFormat="false" ht="23.85" hidden="false" customHeight="false" outlineLevel="0" collapsed="false">
      <c r="A15" s="2" t="s">
        <v>505</v>
      </c>
    </row>
    <row r="16" customFormat="false" ht="23.85" hidden="false" customHeight="false" outlineLevel="0" collapsed="false">
      <c r="A16" s="2" t="s">
        <v>506</v>
      </c>
    </row>
    <row r="17" customFormat="false" ht="23.85" hidden="false" customHeight="false" outlineLevel="0" collapsed="false">
      <c r="A17" s="2" t="s">
        <v>507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508</v>
      </c>
    </row>
    <row r="20" customFormat="false" ht="35.05" hidden="false" customHeight="false" outlineLevel="0" collapsed="false">
      <c r="A20" s="2" t="s">
        <v>509</v>
      </c>
    </row>
    <row r="21" customFormat="false" ht="15" hidden="false" customHeight="false" outlineLevel="0" collapsed="false">
      <c r="A21" s="2"/>
    </row>
    <row r="22" customFormat="false" ht="35.05" hidden="false" customHeight="false" outlineLevel="0" collapsed="false">
      <c r="A22" s="2" t="s">
        <v>510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511</v>
      </c>
    </row>
    <row r="25" customFormat="false" ht="46.25" hidden="false" customHeight="false" outlineLevel="0" collapsed="false">
      <c r="A25" s="2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4" t="s">
        <v>513</v>
      </c>
    </row>
    <row r="3" customFormat="false" ht="23.85" hidden="false" customHeight="false" outlineLevel="0" collapsed="false">
      <c r="A3" s="7" t="n">
        <v>1</v>
      </c>
      <c r="B3" s="2" t="s">
        <v>514</v>
      </c>
    </row>
    <row r="4" customFormat="false" ht="15" hidden="false" customHeight="false" outlineLevel="0" collapsed="false">
      <c r="A4" s="7" t="n">
        <v>2</v>
      </c>
      <c r="B4" s="2" t="s">
        <v>515</v>
      </c>
    </row>
    <row r="5" customFormat="false" ht="23.85" hidden="false" customHeight="false" outlineLevel="0" collapsed="false">
      <c r="A5" s="7" t="n">
        <v>3</v>
      </c>
      <c r="B5" s="2" t="s">
        <v>516</v>
      </c>
    </row>
    <row r="6" customFormat="false" ht="15" hidden="false" customHeight="false" outlineLevel="0" collapsed="false">
      <c r="A6" s="7" t="n">
        <v>4</v>
      </c>
      <c r="B6" s="2" t="s">
        <v>517</v>
      </c>
    </row>
    <row r="7" customFormat="false" ht="15" hidden="false" customHeight="false" outlineLevel="0" collapsed="false">
      <c r="A7" s="7" t="n">
        <v>5</v>
      </c>
      <c r="B7" s="2" t="s">
        <v>518</v>
      </c>
    </row>
    <row r="8" customFormat="false" ht="23.85" hidden="false" customHeight="false" outlineLevel="0" collapsed="false">
      <c r="A8" s="7" t="n">
        <v>6</v>
      </c>
      <c r="B8" s="2" t="s">
        <v>519</v>
      </c>
    </row>
    <row r="9" customFormat="false" ht="23.85" hidden="false" customHeight="false" outlineLevel="0" collapsed="false">
      <c r="A9" s="7" t="n">
        <v>7</v>
      </c>
      <c r="B9" s="2" t="s">
        <v>520</v>
      </c>
    </row>
    <row r="10" customFormat="false" ht="23.85" hidden="false" customHeight="false" outlineLevel="0" collapsed="false">
      <c r="A10" s="7" t="n">
        <v>8</v>
      </c>
      <c r="B10" s="2" t="s">
        <v>521</v>
      </c>
    </row>
    <row r="11" customFormat="false" ht="15" hidden="false" customHeight="false" outlineLevel="0" collapsed="false">
      <c r="A11" s="7" t="n">
        <v>9</v>
      </c>
      <c r="B11" s="2" t="s">
        <v>522</v>
      </c>
    </row>
    <row r="12" customFormat="false" ht="15" hidden="false" customHeight="false" outlineLevel="0" collapsed="false">
      <c r="A12" s="7" t="n">
        <v>10</v>
      </c>
      <c r="B12" s="2" t="s">
        <v>523</v>
      </c>
    </row>
    <row r="13" customFormat="false" ht="23.85" hidden="false" customHeight="false" outlineLevel="0" collapsed="false">
      <c r="A13" s="7" t="n">
        <v>11</v>
      </c>
      <c r="B13" s="2" t="s">
        <v>524</v>
      </c>
    </row>
    <row r="14" customFormat="false" ht="23.85" hidden="false" customHeight="false" outlineLevel="0" collapsed="false">
      <c r="A14" s="7" t="n">
        <v>12</v>
      </c>
      <c r="B14" s="2" t="s">
        <v>525</v>
      </c>
    </row>
    <row r="15" customFormat="false" ht="15" hidden="false" customHeight="false" outlineLevel="0" collapsed="false">
      <c r="A15" s="7" t="n">
        <v>13</v>
      </c>
      <c r="B15" s="2" t="s">
        <v>526</v>
      </c>
    </row>
    <row r="16" customFormat="false" ht="15" hidden="false" customHeight="false" outlineLevel="0" collapsed="false">
      <c r="A16" s="7" t="n">
        <v>14</v>
      </c>
      <c r="B16" s="2" t="s">
        <v>527</v>
      </c>
    </row>
    <row r="17" customFormat="false" ht="23.85" hidden="false" customHeight="false" outlineLevel="0" collapsed="false">
      <c r="A17" s="7" t="n">
        <v>15</v>
      </c>
      <c r="B17" s="2" t="s">
        <v>528</v>
      </c>
    </row>
    <row r="18" customFormat="false" ht="15" hidden="false" customHeight="false" outlineLevel="0" collapsed="false">
      <c r="A18" s="7" t="n">
        <v>16</v>
      </c>
      <c r="B18" s="2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2026-09-23T09:31:28Z</dcterms:created>
  <dc:creator>openpyxl</dc:creator>
  <dc:description/>
  <dc:language>en-US</dc:language>
  <cp:lastModifiedBy/>
  <dcterms:modified xsi:type="dcterms:W3CDTF">2026-09-23T09:31:28Z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